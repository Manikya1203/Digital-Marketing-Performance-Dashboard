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manik\Downloads\new projects\Excel\PROJECT 5\"/>
    </mc:Choice>
  </mc:AlternateContent>
  <xr:revisionPtr revIDLastSave="0" documentId="13_ncr:1_{065A06DD-6B0C-484D-A1F5-083407338AD9}" xr6:coauthVersionLast="47" xr6:coauthVersionMax="47" xr10:uidLastSave="{00000000-0000-0000-0000-000000000000}"/>
  <bookViews>
    <workbookView xWindow="-108" yWindow="-108" windowWidth="23256" windowHeight="12456" tabRatio="500" activeTab="2" xr2:uid="{00000000-000D-0000-FFFF-FFFF00000000}"/>
  </bookViews>
  <sheets>
    <sheet name="Campaign data" sheetId="1" r:id="rId1"/>
    <sheet name="PIVOT TABLES" sheetId="7" r:id="rId2"/>
    <sheet name="DASHBOARD " sheetId="12" r:id="rId3"/>
  </sheets>
  <definedNames>
    <definedName name="Slicer_Platform">#N/A</definedName>
    <definedName name="Slicer_Quarter1">#N/A</definedName>
  </definedNames>
  <calcPr calcId="191029" iterateDelta="1E-4"/>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2" i="1" l="1"/>
  <c r="Q2" i="1"/>
  <c r="P2" i="1"/>
  <c r="S1001" i="1"/>
  <c r="R1001" i="1"/>
  <c r="Q1001" i="1"/>
  <c r="P1001" i="1"/>
  <c r="T1001" i="1" s="1"/>
  <c r="T1000" i="1"/>
  <c r="S1000" i="1"/>
  <c r="R1000" i="1"/>
  <c r="Q1000" i="1"/>
  <c r="P1000" i="1"/>
  <c r="S999" i="1"/>
  <c r="R999" i="1"/>
  <c r="Q999" i="1"/>
  <c r="P999" i="1"/>
  <c r="T999" i="1" s="1"/>
  <c r="S998" i="1"/>
  <c r="R998" i="1"/>
  <c r="Q998" i="1"/>
  <c r="P998" i="1"/>
  <c r="T998" i="1" s="1"/>
  <c r="S997" i="1"/>
  <c r="R997" i="1"/>
  <c r="Q997" i="1"/>
  <c r="P997" i="1"/>
  <c r="T997" i="1" s="1"/>
  <c r="S996" i="1"/>
  <c r="R996" i="1"/>
  <c r="Q996" i="1"/>
  <c r="P996" i="1"/>
  <c r="T996" i="1" s="1"/>
  <c r="S995" i="1"/>
  <c r="R995" i="1"/>
  <c r="Q995" i="1"/>
  <c r="P995" i="1"/>
  <c r="T995" i="1" s="1"/>
  <c r="T994" i="1"/>
  <c r="S994" i="1"/>
  <c r="R994" i="1"/>
  <c r="Q994" i="1"/>
  <c r="P994" i="1"/>
  <c r="S993" i="1"/>
  <c r="R993" i="1"/>
  <c r="Q993" i="1"/>
  <c r="P993" i="1"/>
  <c r="T993" i="1" s="1"/>
  <c r="S992" i="1"/>
  <c r="R992" i="1"/>
  <c r="Q992" i="1"/>
  <c r="P992" i="1"/>
  <c r="T992" i="1" s="1"/>
  <c r="T991" i="1"/>
  <c r="S991" i="1"/>
  <c r="R991" i="1"/>
  <c r="Q991" i="1"/>
  <c r="P991" i="1"/>
  <c r="S990" i="1"/>
  <c r="R990" i="1"/>
  <c r="Q990" i="1"/>
  <c r="P990" i="1"/>
  <c r="T990" i="1" s="1"/>
  <c r="S989" i="1"/>
  <c r="R989" i="1"/>
  <c r="Q989" i="1"/>
  <c r="P989" i="1"/>
  <c r="T989" i="1" s="1"/>
  <c r="S988" i="1"/>
  <c r="R988" i="1"/>
  <c r="Q988" i="1"/>
  <c r="P988" i="1"/>
  <c r="T988" i="1" s="1"/>
  <c r="T987" i="1"/>
  <c r="S987" i="1"/>
  <c r="R987" i="1"/>
  <c r="Q987" i="1"/>
  <c r="P987" i="1"/>
  <c r="T986" i="1"/>
  <c r="S986" i="1"/>
  <c r="R986" i="1"/>
  <c r="Q986" i="1"/>
  <c r="P986" i="1"/>
  <c r="S985" i="1"/>
  <c r="R985" i="1"/>
  <c r="Q985" i="1"/>
  <c r="P985" i="1"/>
  <c r="T985" i="1" s="1"/>
  <c r="T984" i="1"/>
  <c r="S984" i="1"/>
  <c r="R984" i="1"/>
  <c r="Q984" i="1"/>
  <c r="P984" i="1"/>
  <c r="S983" i="1"/>
  <c r="R983" i="1"/>
  <c r="Q983" i="1"/>
  <c r="P983" i="1"/>
  <c r="T983" i="1" s="1"/>
  <c r="S982" i="1"/>
  <c r="R982" i="1"/>
  <c r="Q982" i="1"/>
  <c r="P982" i="1"/>
  <c r="T982" i="1" s="1"/>
  <c r="T981" i="1"/>
  <c r="S981" i="1"/>
  <c r="R981" i="1"/>
  <c r="Q981" i="1"/>
  <c r="P981" i="1"/>
  <c r="S980" i="1"/>
  <c r="R980" i="1"/>
  <c r="Q980" i="1"/>
  <c r="P980" i="1"/>
  <c r="T980" i="1" s="1"/>
  <c r="S979" i="1"/>
  <c r="R979" i="1"/>
  <c r="Q979" i="1"/>
  <c r="P979" i="1"/>
  <c r="T979" i="1" s="1"/>
  <c r="T978" i="1"/>
  <c r="S978" i="1"/>
  <c r="R978" i="1"/>
  <c r="Q978" i="1"/>
  <c r="P978" i="1"/>
  <c r="S977" i="1"/>
  <c r="R977" i="1"/>
  <c r="Q977" i="1"/>
  <c r="P977" i="1"/>
  <c r="T977" i="1" s="1"/>
  <c r="S976" i="1"/>
  <c r="R976" i="1"/>
  <c r="Q976" i="1"/>
  <c r="P976" i="1"/>
  <c r="T976" i="1" s="1"/>
  <c r="T975" i="1"/>
  <c r="S975" i="1"/>
  <c r="R975" i="1"/>
  <c r="Q975" i="1"/>
  <c r="P975" i="1"/>
  <c r="T974" i="1"/>
  <c r="S974" i="1"/>
  <c r="R974" i="1"/>
  <c r="Q974" i="1"/>
  <c r="P974" i="1"/>
  <c r="S973" i="1"/>
  <c r="R973" i="1"/>
  <c r="Q973" i="1"/>
  <c r="P973" i="1"/>
  <c r="T973" i="1" s="1"/>
  <c r="S972" i="1"/>
  <c r="R972" i="1"/>
  <c r="Q972" i="1"/>
  <c r="P972" i="1"/>
  <c r="T972" i="1" s="1"/>
  <c r="T971" i="1"/>
  <c r="S971" i="1"/>
  <c r="R971" i="1"/>
  <c r="Q971" i="1"/>
  <c r="P971" i="1"/>
  <c r="T970" i="1"/>
  <c r="S970" i="1"/>
  <c r="R970" i="1"/>
  <c r="Q970" i="1"/>
  <c r="P970" i="1"/>
  <c r="S969" i="1"/>
  <c r="R969" i="1"/>
  <c r="Q969" i="1"/>
  <c r="P969" i="1"/>
  <c r="T969" i="1" s="1"/>
  <c r="T968" i="1"/>
  <c r="S968" i="1"/>
  <c r="R968" i="1"/>
  <c r="Q968" i="1"/>
  <c r="P968" i="1"/>
  <c r="S967" i="1"/>
  <c r="R967" i="1"/>
  <c r="Q967" i="1"/>
  <c r="P967" i="1"/>
  <c r="T967" i="1" s="1"/>
  <c r="S966" i="1"/>
  <c r="R966" i="1"/>
  <c r="Q966" i="1"/>
  <c r="P966" i="1"/>
  <c r="T966" i="1" s="1"/>
  <c r="S965" i="1"/>
  <c r="R965" i="1"/>
  <c r="Q965" i="1"/>
  <c r="P965" i="1"/>
  <c r="T965" i="1" s="1"/>
  <c r="S964" i="1"/>
  <c r="R964" i="1"/>
  <c r="Q964" i="1"/>
  <c r="P964" i="1"/>
  <c r="T964" i="1" s="1"/>
  <c r="S963" i="1"/>
  <c r="R963" i="1"/>
  <c r="Q963" i="1"/>
  <c r="P963" i="1"/>
  <c r="T963" i="1" s="1"/>
  <c r="T962" i="1"/>
  <c r="S962" i="1"/>
  <c r="R962" i="1"/>
  <c r="Q962" i="1"/>
  <c r="P962" i="1"/>
  <c r="S961" i="1"/>
  <c r="R961" i="1"/>
  <c r="Q961" i="1"/>
  <c r="P961" i="1"/>
  <c r="T961" i="1" s="1"/>
  <c r="S960" i="1"/>
  <c r="R960" i="1"/>
  <c r="Q960" i="1"/>
  <c r="P960" i="1"/>
  <c r="T960" i="1" s="1"/>
  <c r="T959" i="1"/>
  <c r="S959" i="1"/>
  <c r="R959" i="1"/>
  <c r="Q959" i="1"/>
  <c r="P959" i="1"/>
  <c r="S958" i="1"/>
  <c r="R958" i="1"/>
  <c r="Q958" i="1"/>
  <c r="P958" i="1"/>
  <c r="T958" i="1" s="1"/>
  <c r="S957" i="1"/>
  <c r="R957" i="1"/>
  <c r="Q957" i="1"/>
  <c r="P957" i="1"/>
  <c r="T957" i="1" s="1"/>
  <c r="S956" i="1"/>
  <c r="R956" i="1"/>
  <c r="Q956" i="1"/>
  <c r="P956" i="1"/>
  <c r="T956" i="1" s="1"/>
  <c r="T955" i="1"/>
  <c r="S955" i="1"/>
  <c r="R955" i="1"/>
  <c r="Q955" i="1"/>
  <c r="P955" i="1"/>
  <c r="T954" i="1"/>
  <c r="S954" i="1"/>
  <c r="R954" i="1"/>
  <c r="Q954" i="1"/>
  <c r="P954" i="1"/>
  <c r="S953" i="1"/>
  <c r="R953" i="1"/>
  <c r="Q953" i="1"/>
  <c r="P953" i="1"/>
  <c r="T953" i="1" s="1"/>
  <c r="T952" i="1"/>
  <c r="S952" i="1"/>
  <c r="R952" i="1"/>
  <c r="Q952" i="1"/>
  <c r="P952" i="1"/>
  <c r="S951" i="1"/>
  <c r="R951" i="1"/>
  <c r="Q951" i="1"/>
  <c r="P951" i="1"/>
  <c r="T951" i="1" s="1"/>
  <c r="S950" i="1"/>
  <c r="R950" i="1"/>
  <c r="Q950" i="1"/>
  <c r="P950" i="1"/>
  <c r="T950" i="1" s="1"/>
  <c r="T949" i="1"/>
  <c r="S949" i="1"/>
  <c r="R949" i="1"/>
  <c r="Q949" i="1"/>
  <c r="P949" i="1"/>
  <c r="S948" i="1"/>
  <c r="R948" i="1"/>
  <c r="Q948" i="1"/>
  <c r="P948" i="1"/>
  <c r="T948" i="1" s="1"/>
  <c r="S947" i="1"/>
  <c r="R947" i="1"/>
  <c r="Q947" i="1"/>
  <c r="P947" i="1"/>
  <c r="T947" i="1" s="1"/>
  <c r="T946" i="1"/>
  <c r="S946" i="1"/>
  <c r="R946" i="1"/>
  <c r="Q946" i="1"/>
  <c r="P946" i="1"/>
  <c r="S945" i="1"/>
  <c r="R945" i="1"/>
  <c r="Q945" i="1"/>
  <c r="P945" i="1"/>
  <c r="T945" i="1" s="1"/>
  <c r="S944" i="1"/>
  <c r="R944" i="1"/>
  <c r="Q944" i="1"/>
  <c r="P944" i="1"/>
  <c r="T944" i="1" s="1"/>
  <c r="T943" i="1"/>
  <c r="S943" i="1"/>
  <c r="R943" i="1"/>
  <c r="Q943" i="1"/>
  <c r="P943" i="1"/>
  <c r="T942" i="1"/>
  <c r="S942" i="1"/>
  <c r="R942" i="1"/>
  <c r="Q942" i="1"/>
  <c r="P942" i="1"/>
  <c r="S941" i="1"/>
  <c r="R941" i="1"/>
  <c r="Q941" i="1"/>
  <c r="P941" i="1"/>
  <c r="T941" i="1" s="1"/>
  <c r="S940" i="1"/>
  <c r="R940" i="1"/>
  <c r="Q940" i="1"/>
  <c r="P940" i="1"/>
  <c r="T940" i="1" s="1"/>
  <c r="T939" i="1"/>
  <c r="S939" i="1"/>
  <c r="R939" i="1"/>
  <c r="Q939" i="1"/>
  <c r="P939" i="1"/>
  <c r="T938" i="1"/>
  <c r="S938" i="1"/>
  <c r="R938" i="1"/>
  <c r="Q938" i="1"/>
  <c r="P938" i="1"/>
  <c r="S937" i="1"/>
  <c r="R937" i="1"/>
  <c r="Q937" i="1"/>
  <c r="P937" i="1"/>
  <c r="T937" i="1" s="1"/>
  <c r="T936" i="1"/>
  <c r="S936" i="1"/>
  <c r="R936" i="1"/>
  <c r="Q936" i="1"/>
  <c r="P936" i="1"/>
  <c r="S935" i="1"/>
  <c r="R935" i="1"/>
  <c r="Q935" i="1"/>
  <c r="P935" i="1"/>
  <c r="T935" i="1" s="1"/>
  <c r="S934" i="1"/>
  <c r="R934" i="1"/>
  <c r="Q934" i="1"/>
  <c r="P934" i="1"/>
  <c r="T934" i="1" s="1"/>
  <c r="S933" i="1"/>
  <c r="R933" i="1"/>
  <c r="Q933" i="1"/>
  <c r="P933" i="1"/>
  <c r="T933" i="1" s="1"/>
  <c r="S932" i="1"/>
  <c r="R932" i="1"/>
  <c r="Q932" i="1"/>
  <c r="P932" i="1"/>
  <c r="T932" i="1" s="1"/>
  <c r="S931" i="1"/>
  <c r="R931" i="1"/>
  <c r="Q931" i="1"/>
  <c r="P931" i="1"/>
  <c r="T931" i="1" s="1"/>
  <c r="T930" i="1"/>
  <c r="S930" i="1"/>
  <c r="R930" i="1"/>
  <c r="Q930" i="1"/>
  <c r="P930" i="1"/>
  <c r="S929" i="1"/>
  <c r="R929" i="1"/>
  <c r="Q929" i="1"/>
  <c r="P929" i="1"/>
  <c r="T929" i="1" s="1"/>
  <c r="S928" i="1"/>
  <c r="R928" i="1"/>
  <c r="Q928" i="1"/>
  <c r="P928" i="1"/>
  <c r="T928" i="1" s="1"/>
  <c r="T927" i="1"/>
  <c r="S927" i="1"/>
  <c r="R927" i="1"/>
  <c r="Q927" i="1"/>
  <c r="P927" i="1"/>
  <c r="S926" i="1"/>
  <c r="R926" i="1"/>
  <c r="Q926" i="1"/>
  <c r="P926" i="1"/>
  <c r="T926" i="1" s="1"/>
  <c r="S925" i="1"/>
  <c r="R925" i="1"/>
  <c r="Q925" i="1"/>
  <c r="P925" i="1"/>
  <c r="T925" i="1" s="1"/>
  <c r="S924" i="1"/>
  <c r="R924" i="1"/>
  <c r="Q924" i="1"/>
  <c r="P924" i="1"/>
  <c r="T924" i="1" s="1"/>
  <c r="T923" i="1"/>
  <c r="S923" i="1"/>
  <c r="R923" i="1"/>
  <c r="Q923" i="1"/>
  <c r="P923" i="1"/>
  <c r="T922" i="1"/>
  <c r="S922" i="1"/>
  <c r="R922" i="1"/>
  <c r="Q922" i="1"/>
  <c r="P922" i="1"/>
  <c r="S921" i="1"/>
  <c r="R921" i="1"/>
  <c r="Q921" i="1"/>
  <c r="P921" i="1"/>
  <c r="T921" i="1" s="1"/>
  <c r="T920" i="1"/>
  <c r="S920" i="1"/>
  <c r="R920" i="1"/>
  <c r="Q920" i="1"/>
  <c r="P920" i="1"/>
  <c r="S919" i="1"/>
  <c r="R919" i="1"/>
  <c r="Q919" i="1"/>
  <c r="P919" i="1"/>
  <c r="T919" i="1" s="1"/>
  <c r="S918" i="1"/>
  <c r="R918" i="1"/>
  <c r="Q918" i="1"/>
  <c r="P918" i="1"/>
  <c r="T918" i="1" s="1"/>
  <c r="T917" i="1"/>
  <c r="S917" i="1"/>
  <c r="R917" i="1"/>
  <c r="Q917" i="1"/>
  <c r="P917" i="1"/>
  <c r="S916" i="1"/>
  <c r="R916" i="1"/>
  <c r="Q916" i="1"/>
  <c r="P916" i="1"/>
  <c r="T916" i="1" s="1"/>
  <c r="S915" i="1"/>
  <c r="R915" i="1"/>
  <c r="Q915" i="1"/>
  <c r="P915" i="1"/>
  <c r="T915" i="1" s="1"/>
  <c r="T914" i="1"/>
  <c r="S914" i="1"/>
  <c r="R914" i="1"/>
  <c r="Q914" i="1"/>
  <c r="P914" i="1"/>
  <c r="S913" i="1"/>
  <c r="R913" i="1"/>
  <c r="Q913" i="1"/>
  <c r="P913" i="1"/>
  <c r="T913" i="1" s="1"/>
  <c r="S912" i="1"/>
  <c r="R912" i="1"/>
  <c r="Q912" i="1"/>
  <c r="P912" i="1"/>
  <c r="T912" i="1" s="1"/>
  <c r="T911" i="1"/>
  <c r="S911" i="1"/>
  <c r="R911" i="1"/>
  <c r="Q911" i="1"/>
  <c r="P911" i="1"/>
  <c r="T910" i="1"/>
  <c r="S910" i="1"/>
  <c r="R910" i="1"/>
  <c r="Q910" i="1"/>
  <c r="P910" i="1"/>
  <c r="S909" i="1"/>
  <c r="R909" i="1"/>
  <c r="Q909" i="1"/>
  <c r="P909" i="1"/>
  <c r="T909" i="1" s="1"/>
  <c r="S908" i="1"/>
  <c r="R908" i="1"/>
  <c r="Q908" i="1"/>
  <c r="P908" i="1"/>
  <c r="T908" i="1" s="1"/>
  <c r="T907" i="1"/>
  <c r="S907" i="1"/>
  <c r="R907" i="1"/>
  <c r="Q907" i="1"/>
  <c r="P907" i="1"/>
  <c r="T906" i="1"/>
  <c r="S906" i="1"/>
  <c r="R906" i="1"/>
  <c r="Q906" i="1"/>
  <c r="P906" i="1"/>
  <c r="S905" i="1"/>
  <c r="R905" i="1"/>
  <c r="Q905" i="1"/>
  <c r="P905" i="1"/>
  <c r="T905" i="1" s="1"/>
  <c r="T904" i="1"/>
  <c r="S904" i="1"/>
  <c r="R904" i="1"/>
  <c r="Q904" i="1"/>
  <c r="P904" i="1"/>
  <c r="S903" i="1"/>
  <c r="R903" i="1"/>
  <c r="Q903" i="1"/>
  <c r="P903" i="1"/>
  <c r="T903" i="1" s="1"/>
  <c r="S902" i="1"/>
  <c r="R902" i="1"/>
  <c r="Q902" i="1"/>
  <c r="P902" i="1"/>
  <c r="T902" i="1" s="1"/>
  <c r="S901" i="1"/>
  <c r="R901" i="1"/>
  <c r="Q901" i="1"/>
  <c r="P901" i="1"/>
  <c r="T901" i="1" s="1"/>
  <c r="S900" i="1"/>
  <c r="R900" i="1"/>
  <c r="Q900" i="1"/>
  <c r="P900" i="1"/>
  <c r="T900" i="1" s="1"/>
  <c r="S899" i="1"/>
  <c r="R899" i="1"/>
  <c r="Q899" i="1"/>
  <c r="P899" i="1"/>
  <c r="T899" i="1" s="1"/>
  <c r="T898" i="1"/>
  <c r="S898" i="1"/>
  <c r="R898" i="1"/>
  <c r="Q898" i="1"/>
  <c r="P898" i="1"/>
  <c r="S897" i="1"/>
  <c r="R897" i="1"/>
  <c r="Q897" i="1"/>
  <c r="P897" i="1"/>
  <c r="T897" i="1" s="1"/>
  <c r="S896" i="1"/>
  <c r="R896" i="1"/>
  <c r="Q896" i="1"/>
  <c r="P896" i="1"/>
  <c r="T896" i="1" s="1"/>
  <c r="T895" i="1"/>
  <c r="S895" i="1"/>
  <c r="R895" i="1"/>
  <c r="Q895" i="1"/>
  <c r="P895" i="1"/>
  <c r="S894" i="1"/>
  <c r="R894" i="1"/>
  <c r="Q894" i="1"/>
  <c r="P894" i="1"/>
  <c r="T894" i="1" s="1"/>
  <c r="S893" i="1"/>
  <c r="R893" i="1"/>
  <c r="Q893" i="1"/>
  <c r="P893" i="1"/>
  <c r="T893" i="1" s="1"/>
  <c r="S892" i="1"/>
  <c r="R892" i="1"/>
  <c r="Q892" i="1"/>
  <c r="P892" i="1"/>
  <c r="T892" i="1" s="1"/>
  <c r="T891" i="1"/>
  <c r="S891" i="1"/>
  <c r="R891" i="1"/>
  <c r="Q891" i="1"/>
  <c r="P891" i="1"/>
  <c r="T890" i="1"/>
  <c r="S890" i="1"/>
  <c r="R890" i="1"/>
  <c r="Q890" i="1"/>
  <c r="P890" i="1"/>
  <c r="S889" i="1"/>
  <c r="R889" i="1"/>
  <c r="Q889" i="1"/>
  <c r="P889" i="1"/>
  <c r="T889" i="1" s="1"/>
  <c r="T888" i="1"/>
  <c r="S888" i="1"/>
  <c r="R888" i="1"/>
  <c r="Q888" i="1"/>
  <c r="P888" i="1"/>
  <c r="S887" i="1"/>
  <c r="R887" i="1"/>
  <c r="Q887" i="1"/>
  <c r="P887" i="1"/>
  <c r="T887" i="1" s="1"/>
  <c r="S886" i="1"/>
  <c r="R886" i="1"/>
  <c r="Q886" i="1"/>
  <c r="P886" i="1"/>
  <c r="T886" i="1" s="1"/>
  <c r="T885" i="1"/>
  <c r="S885" i="1"/>
  <c r="R885" i="1"/>
  <c r="Q885" i="1"/>
  <c r="P885" i="1"/>
  <c r="S884" i="1"/>
  <c r="R884" i="1"/>
  <c r="Q884" i="1"/>
  <c r="P884" i="1"/>
  <c r="T884" i="1" s="1"/>
  <c r="S883" i="1"/>
  <c r="R883" i="1"/>
  <c r="Q883" i="1"/>
  <c r="P883" i="1"/>
  <c r="T883" i="1" s="1"/>
  <c r="T882" i="1"/>
  <c r="S882" i="1"/>
  <c r="R882" i="1"/>
  <c r="Q882" i="1"/>
  <c r="P882" i="1"/>
  <c r="S881" i="1"/>
  <c r="R881" i="1"/>
  <c r="Q881" i="1"/>
  <c r="P881" i="1"/>
  <c r="T881" i="1" s="1"/>
  <c r="S880" i="1"/>
  <c r="R880" i="1"/>
  <c r="Q880" i="1"/>
  <c r="P880" i="1"/>
  <c r="T880" i="1" s="1"/>
  <c r="T879" i="1"/>
  <c r="S879" i="1"/>
  <c r="R879" i="1"/>
  <c r="Q879" i="1"/>
  <c r="P879" i="1"/>
  <c r="T878" i="1"/>
  <c r="S878" i="1"/>
  <c r="R878" i="1"/>
  <c r="Q878" i="1"/>
  <c r="P878" i="1"/>
  <c r="S877" i="1"/>
  <c r="R877" i="1"/>
  <c r="Q877" i="1"/>
  <c r="P877" i="1"/>
  <c r="T877" i="1" s="1"/>
  <c r="S876" i="1"/>
  <c r="R876" i="1"/>
  <c r="Q876" i="1"/>
  <c r="P876" i="1"/>
  <c r="T876" i="1" s="1"/>
  <c r="T875" i="1"/>
  <c r="S875" i="1"/>
  <c r="R875" i="1"/>
  <c r="Q875" i="1"/>
  <c r="P875" i="1"/>
  <c r="T874" i="1"/>
  <c r="S874" i="1"/>
  <c r="R874" i="1"/>
  <c r="Q874" i="1"/>
  <c r="P874" i="1"/>
  <c r="S873" i="1"/>
  <c r="R873" i="1"/>
  <c r="Q873" i="1"/>
  <c r="P873" i="1"/>
  <c r="T873" i="1" s="1"/>
  <c r="T872" i="1"/>
  <c r="S872" i="1"/>
  <c r="R872" i="1"/>
  <c r="Q872" i="1"/>
  <c r="P872" i="1"/>
  <c r="S871" i="1"/>
  <c r="R871" i="1"/>
  <c r="Q871" i="1"/>
  <c r="P871" i="1"/>
  <c r="T871" i="1" s="1"/>
  <c r="S870" i="1"/>
  <c r="R870" i="1"/>
  <c r="Q870" i="1"/>
  <c r="P870" i="1"/>
  <c r="T870" i="1" s="1"/>
  <c r="S869" i="1"/>
  <c r="R869" i="1"/>
  <c r="Q869" i="1"/>
  <c r="P869" i="1"/>
  <c r="T869" i="1" s="1"/>
  <c r="S868" i="1"/>
  <c r="R868" i="1"/>
  <c r="Q868" i="1"/>
  <c r="P868" i="1"/>
  <c r="T868" i="1" s="1"/>
  <c r="S867" i="1"/>
  <c r="R867" i="1"/>
  <c r="Q867" i="1"/>
  <c r="P867" i="1"/>
  <c r="T867" i="1" s="1"/>
  <c r="T866" i="1"/>
  <c r="S866" i="1"/>
  <c r="R866" i="1"/>
  <c r="Q866" i="1"/>
  <c r="P866" i="1"/>
  <c r="S865" i="1"/>
  <c r="R865" i="1"/>
  <c r="Q865" i="1"/>
  <c r="P865" i="1"/>
  <c r="T865" i="1" s="1"/>
  <c r="S864" i="1"/>
  <c r="R864" i="1"/>
  <c r="Q864" i="1"/>
  <c r="P864" i="1"/>
  <c r="T864" i="1" s="1"/>
  <c r="T863" i="1"/>
  <c r="S863" i="1"/>
  <c r="R863" i="1"/>
  <c r="Q863" i="1"/>
  <c r="P863" i="1"/>
  <c r="S862" i="1"/>
  <c r="R862" i="1"/>
  <c r="Q862" i="1"/>
  <c r="P862" i="1"/>
  <c r="T862" i="1" s="1"/>
  <c r="S861" i="1"/>
  <c r="R861" i="1"/>
  <c r="Q861" i="1"/>
  <c r="P861" i="1"/>
  <c r="T861" i="1" s="1"/>
  <c r="S860" i="1"/>
  <c r="R860" i="1"/>
  <c r="Q860" i="1"/>
  <c r="P860" i="1"/>
  <c r="T860" i="1" s="1"/>
  <c r="T859" i="1"/>
  <c r="S859" i="1"/>
  <c r="R859" i="1"/>
  <c r="Q859" i="1"/>
  <c r="P859" i="1"/>
  <c r="T858" i="1"/>
  <c r="S858" i="1"/>
  <c r="R858" i="1"/>
  <c r="Q858" i="1"/>
  <c r="P858" i="1"/>
  <c r="S857" i="1"/>
  <c r="R857" i="1"/>
  <c r="Q857" i="1"/>
  <c r="P857" i="1"/>
  <c r="T857" i="1" s="1"/>
  <c r="T856" i="1"/>
  <c r="S856" i="1"/>
  <c r="R856" i="1"/>
  <c r="Q856" i="1"/>
  <c r="P856" i="1"/>
  <c r="S855" i="1"/>
  <c r="R855" i="1"/>
  <c r="Q855" i="1"/>
  <c r="P855" i="1"/>
  <c r="T855" i="1" s="1"/>
  <c r="S854" i="1"/>
  <c r="R854" i="1"/>
  <c r="Q854" i="1"/>
  <c r="P854" i="1"/>
  <c r="T854" i="1" s="1"/>
  <c r="T853" i="1"/>
  <c r="S853" i="1"/>
  <c r="R853" i="1"/>
  <c r="Q853" i="1"/>
  <c r="P853" i="1"/>
  <c r="S852" i="1"/>
  <c r="R852" i="1"/>
  <c r="Q852" i="1"/>
  <c r="P852" i="1"/>
  <c r="T852" i="1" s="1"/>
  <c r="S851" i="1"/>
  <c r="R851" i="1"/>
  <c r="Q851" i="1"/>
  <c r="P851" i="1"/>
  <c r="T851" i="1" s="1"/>
  <c r="T850" i="1"/>
  <c r="S850" i="1"/>
  <c r="R850" i="1"/>
  <c r="Q850" i="1"/>
  <c r="P850" i="1"/>
  <c r="S849" i="1"/>
  <c r="R849" i="1"/>
  <c r="Q849" i="1"/>
  <c r="P849" i="1"/>
  <c r="T849" i="1" s="1"/>
  <c r="S848" i="1"/>
  <c r="R848" i="1"/>
  <c r="Q848" i="1"/>
  <c r="P848" i="1"/>
  <c r="T848" i="1" s="1"/>
  <c r="T847" i="1"/>
  <c r="S847" i="1"/>
  <c r="R847" i="1"/>
  <c r="Q847" i="1"/>
  <c r="P847" i="1"/>
  <c r="T846" i="1"/>
  <c r="S846" i="1"/>
  <c r="R846" i="1"/>
  <c r="Q846" i="1"/>
  <c r="P846" i="1"/>
  <c r="S845" i="1"/>
  <c r="R845" i="1"/>
  <c r="Q845" i="1"/>
  <c r="P845" i="1"/>
  <c r="T845" i="1" s="1"/>
  <c r="S844" i="1"/>
  <c r="R844" i="1"/>
  <c r="Q844" i="1"/>
  <c r="P844" i="1"/>
  <c r="T844" i="1" s="1"/>
  <c r="T843" i="1"/>
  <c r="S843" i="1"/>
  <c r="R843" i="1"/>
  <c r="Q843" i="1"/>
  <c r="P843" i="1"/>
  <c r="T842" i="1"/>
  <c r="S842" i="1"/>
  <c r="R842" i="1"/>
  <c r="Q842" i="1"/>
  <c r="P842" i="1"/>
  <c r="S841" i="1"/>
  <c r="R841" i="1"/>
  <c r="Q841" i="1"/>
  <c r="P841" i="1"/>
  <c r="T841" i="1" s="1"/>
  <c r="T840" i="1"/>
  <c r="S840" i="1"/>
  <c r="R840" i="1"/>
  <c r="Q840" i="1"/>
  <c r="P840" i="1"/>
  <c r="S839" i="1"/>
  <c r="R839" i="1"/>
  <c r="Q839" i="1"/>
  <c r="P839" i="1"/>
  <c r="T839" i="1" s="1"/>
  <c r="S838" i="1"/>
  <c r="R838" i="1"/>
  <c r="Q838" i="1"/>
  <c r="P838" i="1"/>
  <c r="T838" i="1" s="1"/>
  <c r="S837" i="1"/>
  <c r="R837" i="1"/>
  <c r="Q837" i="1"/>
  <c r="P837" i="1"/>
  <c r="T837" i="1" s="1"/>
  <c r="S836" i="1"/>
  <c r="R836" i="1"/>
  <c r="Q836" i="1"/>
  <c r="P836" i="1"/>
  <c r="T836" i="1" s="1"/>
  <c r="S835" i="1"/>
  <c r="R835" i="1"/>
  <c r="Q835" i="1"/>
  <c r="P835" i="1"/>
  <c r="T835" i="1" s="1"/>
  <c r="T834" i="1"/>
  <c r="S834" i="1"/>
  <c r="R834" i="1"/>
  <c r="Q834" i="1"/>
  <c r="P834" i="1"/>
  <c r="S833" i="1"/>
  <c r="R833" i="1"/>
  <c r="Q833" i="1"/>
  <c r="P833" i="1"/>
  <c r="T833" i="1" s="1"/>
  <c r="S832" i="1"/>
  <c r="R832" i="1"/>
  <c r="Q832" i="1"/>
  <c r="P832" i="1"/>
  <c r="T832" i="1" s="1"/>
  <c r="T831" i="1"/>
  <c r="S831" i="1"/>
  <c r="R831" i="1"/>
  <c r="Q831" i="1"/>
  <c r="P831" i="1"/>
  <c r="S830" i="1"/>
  <c r="R830" i="1"/>
  <c r="Q830" i="1"/>
  <c r="P830" i="1"/>
  <c r="T830" i="1" s="1"/>
  <c r="S829" i="1"/>
  <c r="R829" i="1"/>
  <c r="Q829" i="1"/>
  <c r="P829" i="1"/>
  <c r="T829" i="1" s="1"/>
  <c r="S828" i="1"/>
  <c r="R828" i="1"/>
  <c r="Q828" i="1"/>
  <c r="P828" i="1"/>
  <c r="T828" i="1" s="1"/>
  <c r="T827" i="1"/>
  <c r="S827" i="1"/>
  <c r="R827" i="1"/>
  <c r="Q827" i="1"/>
  <c r="P827" i="1"/>
  <c r="T826" i="1"/>
  <c r="S826" i="1"/>
  <c r="R826" i="1"/>
  <c r="Q826" i="1"/>
  <c r="P826" i="1"/>
  <c r="S825" i="1"/>
  <c r="R825" i="1"/>
  <c r="Q825" i="1"/>
  <c r="P825" i="1"/>
  <c r="T825" i="1" s="1"/>
  <c r="T824" i="1"/>
  <c r="S824" i="1"/>
  <c r="R824" i="1"/>
  <c r="Q824" i="1"/>
  <c r="P824" i="1"/>
  <c r="S823" i="1"/>
  <c r="R823" i="1"/>
  <c r="Q823" i="1"/>
  <c r="P823" i="1"/>
  <c r="T823" i="1" s="1"/>
  <c r="S822" i="1"/>
  <c r="R822" i="1"/>
  <c r="Q822" i="1"/>
  <c r="P822" i="1"/>
  <c r="T822" i="1" s="1"/>
  <c r="T821" i="1"/>
  <c r="S821" i="1"/>
  <c r="R821" i="1"/>
  <c r="Q821" i="1"/>
  <c r="P821" i="1"/>
  <c r="S820" i="1"/>
  <c r="R820" i="1"/>
  <c r="Q820" i="1"/>
  <c r="P820" i="1"/>
  <c r="T820" i="1" s="1"/>
  <c r="S819" i="1"/>
  <c r="R819" i="1"/>
  <c r="Q819" i="1"/>
  <c r="P819" i="1"/>
  <c r="T819" i="1" s="1"/>
  <c r="T818" i="1"/>
  <c r="S818" i="1"/>
  <c r="R818" i="1"/>
  <c r="Q818" i="1"/>
  <c r="P818" i="1"/>
  <c r="S817" i="1"/>
  <c r="R817" i="1"/>
  <c r="Q817" i="1"/>
  <c r="P817" i="1"/>
  <c r="T817" i="1" s="1"/>
  <c r="S816" i="1"/>
  <c r="R816" i="1"/>
  <c r="Q816" i="1"/>
  <c r="P816" i="1"/>
  <c r="T816" i="1" s="1"/>
  <c r="T815" i="1"/>
  <c r="S815" i="1"/>
  <c r="R815" i="1"/>
  <c r="Q815" i="1"/>
  <c r="P815" i="1"/>
  <c r="T814" i="1"/>
  <c r="S814" i="1"/>
  <c r="R814" i="1"/>
  <c r="Q814" i="1"/>
  <c r="P814" i="1"/>
  <c r="S813" i="1"/>
  <c r="R813" i="1"/>
  <c r="Q813" i="1"/>
  <c r="P813" i="1"/>
  <c r="T813" i="1" s="1"/>
  <c r="S812" i="1"/>
  <c r="R812" i="1"/>
  <c r="Q812" i="1"/>
  <c r="P812" i="1"/>
  <c r="T812" i="1" s="1"/>
  <c r="T811" i="1"/>
  <c r="S811" i="1"/>
  <c r="R811" i="1"/>
  <c r="Q811" i="1"/>
  <c r="P811" i="1"/>
  <c r="T810" i="1"/>
  <c r="S810" i="1"/>
  <c r="R810" i="1"/>
  <c r="Q810" i="1"/>
  <c r="P810" i="1"/>
  <c r="S809" i="1"/>
  <c r="R809" i="1"/>
  <c r="Q809" i="1"/>
  <c r="P809" i="1"/>
  <c r="T809" i="1" s="1"/>
  <c r="T808" i="1"/>
  <c r="S808" i="1"/>
  <c r="R808" i="1"/>
  <c r="Q808" i="1"/>
  <c r="P808" i="1"/>
  <c r="S807" i="1"/>
  <c r="R807" i="1"/>
  <c r="Q807" i="1"/>
  <c r="P807" i="1"/>
  <c r="T807" i="1" s="1"/>
  <c r="S806" i="1"/>
  <c r="R806" i="1"/>
  <c r="Q806" i="1"/>
  <c r="P806" i="1"/>
  <c r="T806" i="1" s="1"/>
  <c r="S805" i="1"/>
  <c r="R805" i="1"/>
  <c r="Q805" i="1"/>
  <c r="P805" i="1"/>
  <c r="T805" i="1" s="1"/>
  <c r="S804" i="1"/>
  <c r="R804" i="1"/>
  <c r="Q804" i="1"/>
  <c r="P804" i="1"/>
  <c r="T804" i="1" s="1"/>
  <c r="S803" i="1"/>
  <c r="R803" i="1"/>
  <c r="Q803" i="1"/>
  <c r="P803" i="1"/>
  <c r="T803" i="1" s="1"/>
  <c r="T802" i="1"/>
  <c r="S802" i="1"/>
  <c r="R802" i="1"/>
  <c r="Q802" i="1"/>
  <c r="P802" i="1"/>
  <c r="S801" i="1"/>
  <c r="R801" i="1"/>
  <c r="Q801" i="1"/>
  <c r="P801" i="1"/>
  <c r="T801" i="1" s="1"/>
  <c r="S800" i="1"/>
  <c r="R800" i="1"/>
  <c r="Q800" i="1"/>
  <c r="P800" i="1"/>
  <c r="T800" i="1" s="1"/>
  <c r="T799" i="1"/>
  <c r="S799" i="1"/>
  <c r="R799" i="1"/>
  <c r="Q799" i="1"/>
  <c r="P799" i="1"/>
  <c r="S798" i="1"/>
  <c r="R798" i="1"/>
  <c r="Q798" i="1"/>
  <c r="P798" i="1"/>
  <c r="T798" i="1" s="1"/>
  <c r="S797" i="1"/>
  <c r="R797" i="1"/>
  <c r="Q797" i="1"/>
  <c r="P797" i="1"/>
  <c r="T797" i="1" s="1"/>
  <c r="S796" i="1"/>
  <c r="R796" i="1"/>
  <c r="Q796" i="1"/>
  <c r="P796" i="1"/>
  <c r="T796" i="1" s="1"/>
  <c r="T795" i="1"/>
  <c r="S795" i="1"/>
  <c r="R795" i="1"/>
  <c r="Q795" i="1"/>
  <c r="P795" i="1"/>
  <c r="S794" i="1"/>
  <c r="R794" i="1"/>
  <c r="Q794" i="1"/>
  <c r="P794" i="1"/>
  <c r="T794" i="1" s="1"/>
  <c r="S793" i="1"/>
  <c r="R793" i="1"/>
  <c r="Q793" i="1"/>
  <c r="P793" i="1"/>
  <c r="T793" i="1" s="1"/>
  <c r="T792" i="1"/>
  <c r="S792" i="1"/>
  <c r="R792" i="1"/>
  <c r="Q792" i="1"/>
  <c r="P792" i="1"/>
  <c r="S791" i="1"/>
  <c r="R791" i="1"/>
  <c r="Q791" i="1"/>
  <c r="P791" i="1"/>
  <c r="T791" i="1" s="1"/>
  <c r="S790" i="1"/>
  <c r="R790" i="1"/>
  <c r="Q790" i="1"/>
  <c r="P790" i="1"/>
  <c r="T790" i="1" s="1"/>
  <c r="T789" i="1"/>
  <c r="S789" i="1"/>
  <c r="R789" i="1"/>
  <c r="Q789" i="1"/>
  <c r="P789" i="1"/>
  <c r="S788" i="1"/>
  <c r="R788" i="1"/>
  <c r="Q788" i="1"/>
  <c r="P788" i="1"/>
  <c r="T788" i="1" s="1"/>
  <c r="S787" i="1"/>
  <c r="R787" i="1"/>
  <c r="Q787" i="1"/>
  <c r="P787" i="1"/>
  <c r="T787" i="1" s="1"/>
  <c r="T786" i="1"/>
  <c r="S786" i="1"/>
  <c r="R786" i="1"/>
  <c r="Q786" i="1"/>
  <c r="P786" i="1"/>
  <c r="S785" i="1"/>
  <c r="R785" i="1"/>
  <c r="Q785" i="1"/>
  <c r="P785" i="1"/>
  <c r="T785" i="1" s="1"/>
  <c r="T784" i="1"/>
  <c r="S784" i="1"/>
  <c r="R784" i="1"/>
  <c r="Q784" i="1"/>
  <c r="P784" i="1"/>
  <c r="T783" i="1"/>
  <c r="S783" i="1"/>
  <c r="R783" i="1"/>
  <c r="Q783" i="1"/>
  <c r="P783" i="1"/>
  <c r="S782" i="1"/>
  <c r="R782" i="1"/>
  <c r="Q782" i="1"/>
  <c r="P782" i="1"/>
  <c r="T782" i="1" s="1"/>
  <c r="T781" i="1"/>
  <c r="S781" i="1"/>
  <c r="R781" i="1"/>
  <c r="Q781" i="1"/>
  <c r="P781" i="1"/>
  <c r="S780" i="1"/>
  <c r="R780" i="1"/>
  <c r="Q780" i="1"/>
  <c r="P780" i="1"/>
  <c r="T780" i="1" s="1"/>
  <c r="T779" i="1"/>
  <c r="S779" i="1"/>
  <c r="R779" i="1"/>
  <c r="Q779" i="1"/>
  <c r="P779" i="1"/>
  <c r="S778" i="1"/>
  <c r="R778" i="1"/>
  <c r="Q778" i="1"/>
  <c r="P778" i="1"/>
  <c r="T778" i="1" s="1"/>
  <c r="S777" i="1"/>
  <c r="R777" i="1"/>
  <c r="Q777" i="1"/>
  <c r="P777" i="1"/>
  <c r="T777" i="1" s="1"/>
  <c r="T776" i="1"/>
  <c r="S776" i="1"/>
  <c r="R776" i="1"/>
  <c r="Q776" i="1"/>
  <c r="P776" i="1"/>
  <c r="S775" i="1"/>
  <c r="R775" i="1"/>
  <c r="Q775" i="1"/>
  <c r="P775" i="1"/>
  <c r="T775" i="1" s="1"/>
  <c r="S774" i="1"/>
  <c r="R774" i="1"/>
  <c r="Q774" i="1"/>
  <c r="P774" i="1"/>
  <c r="T774" i="1" s="1"/>
  <c r="S773" i="1"/>
  <c r="R773" i="1"/>
  <c r="Q773" i="1"/>
  <c r="P773" i="1"/>
  <c r="T773" i="1" s="1"/>
  <c r="S772" i="1"/>
  <c r="R772" i="1"/>
  <c r="Q772" i="1"/>
  <c r="P772" i="1"/>
  <c r="T772" i="1" s="1"/>
  <c r="S771" i="1"/>
  <c r="R771" i="1"/>
  <c r="Q771" i="1"/>
  <c r="P771" i="1"/>
  <c r="T771" i="1" s="1"/>
  <c r="T770" i="1"/>
  <c r="S770" i="1"/>
  <c r="R770" i="1"/>
  <c r="Q770" i="1"/>
  <c r="P770" i="1"/>
  <c r="S769" i="1"/>
  <c r="R769" i="1"/>
  <c r="Q769" i="1"/>
  <c r="P769" i="1"/>
  <c r="T769" i="1" s="1"/>
  <c r="T768" i="1"/>
  <c r="S768" i="1"/>
  <c r="R768" i="1"/>
  <c r="Q768" i="1"/>
  <c r="P768" i="1"/>
  <c r="T767" i="1"/>
  <c r="S767" i="1"/>
  <c r="R767" i="1"/>
  <c r="Q767" i="1"/>
  <c r="P767" i="1"/>
  <c r="S766" i="1"/>
  <c r="R766" i="1"/>
  <c r="Q766" i="1"/>
  <c r="P766" i="1"/>
  <c r="T766" i="1" s="1"/>
  <c r="T765" i="1"/>
  <c r="S765" i="1"/>
  <c r="R765" i="1"/>
  <c r="Q765" i="1"/>
  <c r="P765" i="1"/>
  <c r="S764" i="1"/>
  <c r="R764" i="1"/>
  <c r="Q764" i="1"/>
  <c r="P764" i="1"/>
  <c r="T764" i="1" s="1"/>
  <c r="T763" i="1"/>
  <c r="S763" i="1"/>
  <c r="R763" i="1"/>
  <c r="Q763" i="1"/>
  <c r="P763" i="1"/>
  <c r="S762" i="1"/>
  <c r="R762" i="1"/>
  <c r="Q762" i="1"/>
  <c r="P762" i="1"/>
  <c r="T762" i="1" s="1"/>
  <c r="S761" i="1"/>
  <c r="R761" i="1"/>
  <c r="Q761" i="1"/>
  <c r="P761" i="1"/>
  <c r="T761" i="1" s="1"/>
  <c r="T760" i="1"/>
  <c r="S760" i="1"/>
  <c r="R760" i="1"/>
  <c r="Q760" i="1"/>
  <c r="P760" i="1"/>
  <c r="S759" i="1"/>
  <c r="R759" i="1"/>
  <c r="Q759" i="1"/>
  <c r="P759" i="1"/>
  <c r="T759" i="1" s="1"/>
  <c r="S758" i="1"/>
  <c r="R758" i="1"/>
  <c r="Q758" i="1"/>
  <c r="P758" i="1"/>
  <c r="T758" i="1" s="1"/>
  <c r="T757" i="1"/>
  <c r="S757" i="1"/>
  <c r="R757" i="1"/>
  <c r="Q757" i="1"/>
  <c r="P757" i="1"/>
  <c r="S756" i="1"/>
  <c r="R756" i="1"/>
  <c r="Q756" i="1"/>
  <c r="P756" i="1"/>
  <c r="T756" i="1" s="1"/>
  <c r="S755" i="1"/>
  <c r="R755" i="1"/>
  <c r="Q755" i="1"/>
  <c r="P755" i="1"/>
  <c r="T755" i="1" s="1"/>
  <c r="T754" i="1"/>
  <c r="S754" i="1"/>
  <c r="R754" i="1"/>
  <c r="Q754" i="1"/>
  <c r="P754" i="1"/>
  <c r="S753" i="1"/>
  <c r="R753" i="1"/>
  <c r="Q753" i="1"/>
  <c r="P753" i="1"/>
  <c r="T753" i="1" s="1"/>
  <c r="T752" i="1"/>
  <c r="S752" i="1"/>
  <c r="R752" i="1"/>
  <c r="Q752" i="1"/>
  <c r="P752" i="1"/>
  <c r="T751" i="1"/>
  <c r="S751" i="1"/>
  <c r="R751" i="1"/>
  <c r="Q751" i="1"/>
  <c r="P751" i="1"/>
  <c r="S750" i="1"/>
  <c r="R750" i="1"/>
  <c r="Q750" i="1"/>
  <c r="P750" i="1"/>
  <c r="T750" i="1" s="1"/>
  <c r="T749" i="1"/>
  <c r="S749" i="1"/>
  <c r="R749" i="1"/>
  <c r="Q749" i="1"/>
  <c r="P749" i="1"/>
  <c r="S748" i="1"/>
  <c r="R748" i="1"/>
  <c r="Q748" i="1"/>
  <c r="P748" i="1"/>
  <c r="T748" i="1" s="1"/>
  <c r="T747" i="1"/>
  <c r="S747" i="1"/>
  <c r="R747" i="1"/>
  <c r="Q747" i="1"/>
  <c r="P747" i="1"/>
  <c r="S746" i="1"/>
  <c r="R746" i="1"/>
  <c r="Q746" i="1"/>
  <c r="P746" i="1"/>
  <c r="T746" i="1" s="1"/>
  <c r="S745" i="1"/>
  <c r="R745" i="1"/>
  <c r="Q745" i="1"/>
  <c r="P745" i="1"/>
  <c r="T745" i="1" s="1"/>
  <c r="T744" i="1"/>
  <c r="S744" i="1"/>
  <c r="R744" i="1"/>
  <c r="Q744" i="1"/>
  <c r="P744" i="1"/>
  <c r="S743" i="1"/>
  <c r="R743" i="1"/>
  <c r="Q743" i="1"/>
  <c r="P743" i="1"/>
  <c r="T743" i="1" s="1"/>
  <c r="S742" i="1"/>
  <c r="R742" i="1"/>
  <c r="Q742" i="1"/>
  <c r="P742" i="1"/>
  <c r="T742" i="1" s="1"/>
  <c r="S741" i="1"/>
  <c r="R741" i="1"/>
  <c r="Q741" i="1"/>
  <c r="P741" i="1"/>
  <c r="T741" i="1" s="1"/>
  <c r="S740" i="1"/>
  <c r="R740" i="1"/>
  <c r="Q740" i="1"/>
  <c r="P740" i="1"/>
  <c r="T740" i="1" s="1"/>
  <c r="S739" i="1"/>
  <c r="R739" i="1"/>
  <c r="Q739" i="1"/>
  <c r="P739" i="1"/>
  <c r="T739" i="1" s="1"/>
  <c r="T738" i="1"/>
  <c r="S738" i="1"/>
  <c r="R738" i="1"/>
  <c r="Q738" i="1"/>
  <c r="P738" i="1"/>
  <c r="S737" i="1"/>
  <c r="R737" i="1"/>
  <c r="Q737" i="1"/>
  <c r="P737" i="1"/>
  <c r="T737" i="1" s="1"/>
  <c r="T736" i="1"/>
  <c r="S736" i="1"/>
  <c r="R736" i="1"/>
  <c r="Q736" i="1"/>
  <c r="P736" i="1"/>
  <c r="T735" i="1"/>
  <c r="S735" i="1"/>
  <c r="R735" i="1"/>
  <c r="Q735" i="1"/>
  <c r="P735" i="1"/>
  <c r="S734" i="1"/>
  <c r="R734" i="1"/>
  <c r="Q734" i="1"/>
  <c r="P734" i="1"/>
  <c r="T734" i="1" s="1"/>
  <c r="T733" i="1"/>
  <c r="S733" i="1"/>
  <c r="R733" i="1"/>
  <c r="Q733" i="1"/>
  <c r="P733" i="1"/>
  <c r="S732" i="1"/>
  <c r="R732" i="1"/>
  <c r="Q732" i="1"/>
  <c r="P732" i="1"/>
  <c r="T732" i="1" s="1"/>
  <c r="T731" i="1"/>
  <c r="S731" i="1"/>
  <c r="R731" i="1"/>
  <c r="Q731" i="1"/>
  <c r="P731" i="1"/>
  <c r="S730" i="1"/>
  <c r="R730" i="1"/>
  <c r="Q730" i="1"/>
  <c r="P730" i="1"/>
  <c r="T730" i="1" s="1"/>
  <c r="S729" i="1"/>
  <c r="R729" i="1"/>
  <c r="Q729" i="1"/>
  <c r="P729" i="1"/>
  <c r="T729" i="1" s="1"/>
  <c r="T728" i="1"/>
  <c r="S728" i="1"/>
  <c r="R728" i="1"/>
  <c r="Q728" i="1"/>
  <c r="P728" i="1"/>
  <c r="S727" i="1"/>
  <c r="R727" i="1"/>
  <c r="Q727" i="1"/>
  <c r="P727" i="1"/>
  <c r="T727" i="1" s="1"/>
  <c r="S726" i="1"/>
  <c r="R726" i="1"/>
  <c r="Q726" i="1"/>
  <c r="P726" i="1"/>
  <c r="T726" i="1" s="1"/>
  <c r="T725" i="1"/>
  <c r="S725" i="1"/>
  <c r="R725" i="1"/>
  <c r="Q725" i="1"/>
  <c r="P725" i="1"/>
  <c r="S724" i="1"/>
  <c r="R724" i="1"/>
  <c r="Q724" i="1"/>
  <c r="P724" i="1"/>
  <c r="T724" i="1" s="1"/>
  <c r="S723" i="1"/>
  <c r="R723" i="1"/>
  <c r="Q723" i="1"/>
  <c r="P723" i="1"/>
  <c r="T723" i="1" s="1"/>
  <c r="T722" i="1"/>
  <c r="S722" i="1"/>
  <c r="R722" i="1"/>
  <c r="Q722" i="1"/>
  <c r="P722" i="1"/>
  <c r="S721" i="1"/>
  <c r="R721" i="1"/>
  <c r="Q721" i="1"/>
  <c r="P721" i="1"/>
  <c r="T721" i="1" s="1"/>
  <c r="T720" i="1"/>
  <c r="S720" i="1"/>
  <c r="R720" i="1"/>
  <c r="Q720" i="1"/>
  <c r="P720" i="1"/>
  <c r="T719" i="1"/>
  <c r="S719" i="1"/>
  <c r="R719" i="1"/>
  <c r="Q719" i="1"/>
  <c r="P719" i="1"/>
  <c r="S718" i="1"/>
  <c r="R718" i="1"/>
  <c r="Q718" i="1"/>
  <c r="P718" i="1"/>
  <c r="T718" i="1" s="1"/>
  <c r="T717" i="1"/>
  <c r="S717" i="1"/>
  <c r="R717" i="1"/>
  <c r="Q717" i="1"/>
  <c r="P717" i="1"/>
  <c r="S716" i="1"/>
  <c r="R716" i="1"/>
  <c r="Q716" i="1"/>
  <c r="P716" i="1"/>
  <c r="T716" i="1" s="1"/>
  <c r="T715" i="1"/>
  <c r="S715" i="1"/>
  <c r="R715" i="1"/>
  <c r="Q715" i="1"/>
  <c r="P715" i="1"/>
  <c r="S714" i="1"/>
  <c r="R714" i="1"/>
  <c r="Q714" i="1"/>
  <c r="P714" i="1"/>
  <c r="T714" i="1" s="1"/>
  <c r="S713" i="1"/>
  <c r="R713" i="1"/>
  <c r="Q713" i="1"/>
  <c r="P713" i="1"/>
  <c r="T713" i="1" s="1"/>
  <c r="T712" i="1"/>
  <c r="S712" i="1"/>
  <c r="R712" i="1"/>
  <c r="Q712" i="1"/>
  <c r="P712" i="1"/>
  <c r="S711" i="1"/>
  <c r="R711" i="1"/>
  <c r="Q711" i="1"/>
  <c r="P711" i="1"/>
  <c r="T711" i="1" s="1"/>
  <c r="S710" i="1"/>
  <c r="R710" i="1"/>
  <c r="Q710" i="1"/>
  <c r="P710" i="1"/>
  <c r="T710" i="1" s="1"/>
  <c r="S709" i="1"/>
  <c r="R709" i="1"/>
  <c r="Q709" i="1"/>
  <c r="P709" i="1"/>
  <c r="T709" i="1" s="1"/>
  <c r="S708" i="1"/>
  <c r="R708" i="1"/>
  <c r="Q708" i="1"/>
  <c r="P708" i="1"/>
  <c r="T708" i="1" s="1"/>
  <c r="S707" i="1"/>
  <c r="R707" i="1"/>
  <c r="Q707" i="1"/>
  <c r="P707" i="1"/>
  <c r="T707" i="1" s="1"/>
  <c r="T706" i="1"/>
  <c r="S706" i="1"/>
  <c r="R706" i="1"/>
  <c r="Q706" i="1"/>
  <c r="P706" i="1"/>
  <c r="S705" i="1"/>
  <c r="R705" i="1"/>
  <c r="Q705" i="1"/>
  <c r="P705" i="1"/>
  <c r="T705" i="1" s="1"/>
  <c r="T704" i="1"/>
  <c r="S704" i="1"/>
  <c r="R704" i="1"/>
  <c r="Q704" i="1"/>
  <c r="P704" i="1"/>
  <c r="T703" i="1"/>
  <c r="S703" i="1"/>
  <c r="R703" i="1"/>
  <c r="Q703" i="1"/>
  <c r="P703" i="1"/>
  <c r="S702" i="1"/>
  <c r="R702" i="1"/>
  <c r="Q702" i="1"/>
  <c r="P702" i="1"/>
  <c r="T702" i="1" s="1"/>
  <c r="T701" i="1"/>
  <c r="S701" i="1"/>
  <c r="R701" i="1"/>
  <c r="Q701" i="1"/>
  <c r="P701" i="1"/>
  <c r="S700" i="1"/>
  <c r="R700" i="1"/>
  <c r="Q700" i="1"/>
  <c r="P700" i="1"/>
  <c r="T700" i="1" s="1"/>
  <c r="T699" i="1"/>
  <c r="S699" i="1"/>
  <c r="R699" i="1"/>
  <c r="Q699" i="1"/>
  <c r="P699" i="1"/>
  <c r="S698" i="1"/>
  <c r="R698" i="1"/>
  <c r="Q698" i="1"/>
  <c r="P698" i="1"/>
  <c r="T698" i="1" s="1"/>
  <c r="S697" i="1"/>
  <c r="R697" i="1"/>
  <c r="Q697" i="1"/>
  <c r="P697" i="1"/>
  <c r="T697" i="1" s="1"/>
  <c r="T696" i="1"/>
  <c r="S696" i="1"/>
  <c r="R696" i="1"/>
  <c r="Q696" i="1"/>
  <c r="P696" i="1"/>
  <c r="S695" i="1"/>
  <c r="R695" i="1"/>
  <c r="Q695" i="1"/>
  <c r="P695" i="1"/>
  <c r="T695" i="1" s="1"/>
  <c r="S694" i="1"/>
  <c r="R694" i="1"/>
  <c r="Q694" i="1"/>
  <c r="P694" i="1"/>
  <c r="T694" i="1" s="1"/>
  <c r="T693" i="1"/>
  <c r="S693" i="1"/>
  <c r="R693" i="1"/>
  <c r="Q693" i="1"/>
  <c r="P693" i="1"/>
  <c r="S692" i="1"/>
  <c r="R692" i="1"/>
  <c r="Q692" i="1"/>
  <c r="P692" i="1"/>
  <c r="T692" i="1" s="1"/>
  <c r="S691" i="1"/>
  <c r="R691" i="1"/>
  <c r="Q691" i="1"/>
  <c r="P691" i="1"/>
  <c r="T691" i="1" s="1"/>
  <c r="T690" i="1"/>
  <c r="S690" i="1"/>
  <c r="R690" i="1"/>
  <c r="Q690" i="1"/>
  <c r="P690" i="1"/>
  <c r="S689" i="1"/>
  <c r="R689" i="1"/>
  <c r="Q689" i="1"/>
  <c r="P689" i="1"/>
  <c r="T689" i="1" s="1"/>
  <c r="T688" i="1"/>
  <c r="S688" i="1"/>
  <c r="R688" i="1"/>
  <c r="Q688" i="1"/>
  <c r="P688" i="1"/>
  <c r="T687" i="1"/>
  <c r="S687" i="1"/>
  <c r="R687" i="1"/>
  <c r="Q687" i="1"/>
  <c r="P687" i="1"/>
  <c r="S686" i="1"/>
  <c r="R686" i="1"/>
  <c r="Q686" i="1"/>
  <c r="P686" i="1"/>
  <c r="T686" i="1" s="1"/>
  <c r="T685" i="1"/>
  <c r="S685" i="1"/>
  <c r="R685" i="1"/>
  <c r="Q685" i="1"/>
  <c r="P685" i="1"/>
  <c r="S684" i="1"/>
  <c r="R684" i="1"/>
  <c r="Q684" i="1"/>
  <c r="P684" i="1"/>
  <c r="T684" i="1" s="1"/>
  <c r="T683" i="1"/>
  <c r="S683" i="1"/>
  <c r="R683" i="1"/>
  <c r="Q683" i="1"/>
  <c r="P683" i="1"/>
  <c r="S682" i="1"/>
  <c r="R682" i="1"/>
  <c r="Q682" i="1"/>
  <c r="P682" i="1"/>
  <c r="T682" i="1" s="1"/>
  <c r="S681" i="1"/>
  <c r="R681" i="1"/>
  <c r="Q681" i="1"/>
  <c r="P681" i="1"/>
  <c r="T681" i="1" s="1"/>
  <c r="T680" i="1"/>
  <c r="S680" i="1"/>
  <c r="R680" i="1"/>
  <c r="Q680" i="1"/>
  <c r="P680" i="1"/>
  <c r="S679" i="1"/>
  <c r="R679" i="1"/>
  <c r="Q679" i="1"/>
  <c r="P679" i="1"/>
  <c r="T679" i="1" s="1"/>
  <c r="S678" i="1"/>
  <c r="R678" i="1"/>
  <c r="Q678" i="1"/>
  <c r="P678" i="1"/>
  <c r="T678" i="1" s="1"/>
  <c r="S677" i="1"/>
  <c r="R677" i="1"/>
  <c r="Q677" i="1"/>
  <c r="P677" i="1"/>
  <c r="T677" i="1" s="1"/>
  <c r="S676" i="1"/>
  <c r="R676" i="1"/>
  <c r="Q676" i="1"/>
  <c r="P676" i="1"/>
  <c r="T676" i="1" s="1"/>
  <c r="S675" i="1"/>
  <c r="R675" i="1"/>
  <c r="Q675" i="1"/>
  <c r="P675" i="1"/>
  <c r="T675" i="1" s="1"/>
  <c r="T674" i="1"/>
  <c r="S674" i="1"/>
  <c r="R674" i="1"/>
  <c r="Q674" i="1"/>
  <c r="P674" i="1"/>
  <c r="S673" i="1"/>
  <c r="R673" i="1"/>
  <c r="Q673" i="1"/>
  <c r="P673" i="1"/>
  <c r="T673" i="1" s="1"/>
  <c r="T672" i="1"/>
  <c r="S672" i="1"/>
  <c r="R672" i="1"/>
  <c r="Q672" i="1"/>
  <c r="P672" i="1"/>
  <c r="T671" i="1"/>
  <c r="S671" i="1"/>
  <c r="R671" i="1"/>
  <c r="Q671" i="1"/>
  <c r="P671" i="1"/>
  <c r="S670" i="1"/>
  <c r="R670" i="1"/>
  <c r="Q670" i="1"/>
  <c r="P670" i="1"/>
  <c r="T670" i="1" s="1"/>
  <c r="T669" i="1"/>
  <c r="S669" i="1"/>
  <c r="R669" i="1"/>
  <c r="Q669" i="1"/>
  <c r="P669" i="1"/>
  <c r="S668" i="1"/>
  <c r="R668" i="1"/>
  <c r="Q668" i="1"/>
  <c r="P668" i="1"/>
  <c r="T668" i="1" s="1"/>
  <c r="T667" i="1"/>
  <c r="S667" i="1"/>
  <c r="R667" i="1"/>
  <c r="Q667" i="1"/>
  <c r="P667" i="1"/>
  <c r="S666" i="1"/>
  <c r="R666" i="1"/>
  <c r="Q666" i="1"/>
  <c r="P666" i="1"/>
  <c r="T666" i="1" s="1"/>
  <c r="S665" i="1"/>
  <c r="R665" i="1"/>
  <c r="Q665" i="1"/>
  <c r="P665" i="1"/>
  <c r="T665" i="1" s="1"/>
  <c r="T664" i="1"/>
  <c r="S664" i="1"/>
  <c r="R664" i="1"/>
  <c r="Q664" i="1"/>
  <c r="P664" i="1"/>
  <c r="S663" i="1"/>
  <c r="R663" i="1"/>
  <c r="Q663" i="1"/>
  <c r="P663" i="1"/>
  <c r="T663" i="1" s="1"/>
  <c r="S662" i="1"/>
  <c r="R662" i="1"/>
  <c r="Q662" i="1"/>
  <c r="P662" i="1"/>
  <c r="T662" i="1" s="1"/>
  <c r="T661" i="1"/>
  <c r="S661" i="1"/>
  <c r="R661" i="1"/>
  <c r="Q661" i="1"/>
  <c r="P661" i="1"/>
  <c r="S660" i="1"/>
  <c r="R660" i="1"/>
  <c r="Q660" i="1"/>
  <c r="P660" i="1"/>
  <c r="T660" i="1" s="1"/>
  <c r="S659" i="1"/>
  <c r="R659" i="1"/>
  <c r="Q659" i="1"/>
  <c r="P659" i="1"/>
  <c r="T659" i="1" s="1"/>
  <c r="T658" i="1"/>
  <c r="S658" i="1"/>
  <c r="R658" i="1"/>
  <c r="Q658" i="1"/>
  <c r="P658" i="1"/>
  <c r="S657" i="1"/>
  <c r="R657" i="1"/>
  <c r="Q657" i="1"/>
  <c r="P657" i="1"/>
  <c r="T657" i="1" s="1"/>
  <c r="S656" i="1"/>
  <c r="R656" i="1"/>
  <c r="Q656" i="1"/>
  <c r="P656" i="1"/>
  <c r="T656" i="1" s="1"/>
  <c r="T655" i="1"/>
  <c r="S655" i="1"/>
  <c r="R655" i="1"/>
  <c r="Q655" i="1"/>
  <c r="P655" i="1"/>
  <c r="S654" i="1"/>
  <c r="R654" i="1"/>
  <c r="Q654" i="1"/>
  <c r="P654" i="1"/>
  <c r="T654" i="1" s="1"/>
  <c r="T653" i="1"/>
  <c r="S653" i="1"/>
  <c r="R653" i="1"/>
  <c r="Q653" i="1"/>
  <c r="P653" i="1"/>
  <c r="S652" i="1"/>
  <c r="R652" i="1"/>
  <c r="Q652" i="1"/>
  <c r="P652" i="1"/>
  <c r="T652" i="1" s="1"/>
  <c r="T651" i="1"/>
  <c r="S651" i="1"/>
  <c r="R651" i="1"/>
  <c r="Q651" i="1"/>
  <c r="P651" i="1"/>
  <c r="T650" i="1"/>
  <c r="S650" i="1"/>
  <c r="R650" i="1"/>
  <c r="Q650" i="1"/>
  <c r="P650" i="1"/>
  <c r="S649" i="1"/>
  <c r="R649" i="1"/>
  <c r="Q649" i="1"/>
  <c r="P649" i="1"/>
  <c r="T649" i="1" s="1"/>
  <c r="T648" i="1"/>
  <c r="S648" i="1"/>
  <c r="R648" i="1"/>
  <c r="Q648" i="1"/>
  <c r="P648" i="1"/>
  <c r="T647" i="1"/>
  <c r="S647" i="1"/>
  <c r="R647" i="1"/>
  <c r="Q647" i="1"/>
  <c r="P647" i="1"/>
  <c r="S646" i="1"/>
  <c r="R646" i="1"/>
  <c r="Q646" i="1"/>
  <c r="P646" i="1"/>
  <c r="T646" i="1" s="1"/>
  <c r="S645" i="1"/>
  <c r="R645" i="1"/>
  <c r="Q645" i="1"/>
  <c r="P645" i="1"/>
  <c r="T645" i="1" s="1"/>
  <c r="S644" i="1"/>
  <c r="R644" i="1"/>
  <c r="Q644" i="1"/>
  <c r="P644" i="1"/>
  <c r="T644" i="1" s="1"/>
  <c r="S643" i="1"/>
  <c r="R643" i="1"/>
  <c r="Q643" i="1"/>
  <c r="P643" i="1"/>
  <c r="T643" i="1" s="1"/>
  <c r="S642" i="1"/>
  <c r="R642" i="1"/>
  <c r="Q642" i="1"/>
  <c r="P642" i="1"/>
  <c r="T642" i="1" s="1"/>
  <c r="S641" i="1"/>
  <c r="R641" i="1"/>
  <c r="Q641" i="1"/>
  <c r="P641" i="1"/>
  <c r="T641" i="1" s="1"/>
  <c r="T640" i="1"/>
  <c r="S640" i="1"/>
  <c r="R640" i="1"/>
  <c r="Q640" i="1"/>
  <c r="P640" i="1"/>
  <c r="T639" i="1"/>
  <c r="S639" i="1"/>
  <c r="R639" i="1"/>
  <c r="Q639" i="1"/>
  <c r="P639" i="1"/>
  <c r="S638" i="1"/>
  <c r="R638" i="1"/>
  <c r="Q638" i="1"/>
  <c r="P638" i="1"/>
  <c r="T638" i="1" s="1"/>
  <c r="T637" i="1"/>
  <c r="S637" i="1"/>
  <c r="R637" i="1"/>
  <c r="Q637" i="1"/>
  <c r="P637" i="1"/>
  <c r="S636" i="1"/>
  <c r="R636" i="1"/>
  <c r="Q636" i="1"/>
  <c r="P636" i="1"/>
  <c r="T636" i="1" s="1"/>
  <c r="S635" i="1"/>
  <c r="R635" i="1"/>
  <c r="Q635" i="1"/>
  <c r="P635" i="1"/>
  <c r="T635" i="1" s="1"/>
  <c r="T634" i="1"/>
  <c r="S634" i="1"/>
  <c r="R634" i="1"/>
  <c r="Q634" i="1"/>
  <c r="P634" i="1"/>
  <c r="S633" i="1"/>
  <c r="R633" i="1"/>
  <c r="Q633" i="1"/>
  <c r="P633" i="1"/>
  <c r="T633" i="1" s="1"/>
  <c r="T632" i="1"/>
  <c r="S632" i="1"/>
  <c r="R632" i="1"/>
  <c r="Q632" i="1"/>
  <c r="P632" i="1"/>
  <c r="S631" i="1"/>
  <c r="R631" i="1"/>
  <c r="Q631" i="1"/>
  <c r="P631" i="1"/>
  <c r="T631" i="1" s="1"/>
  <c r="S630" i="1"/>
  <c r="R630" i="1"/>
  <c r="Q630" i="1"/>
  <c r="P630" i="1"/>
  <c r="T630" i="1" s="1"/>
  <c r="T629" i="1"/>
  <c r="S629" i="1"/>
  <c r="R629" i="1"/>
  <c r="Q629" i="1"/>
  <c r="P629" i="1"/>
  <c r="S628" i="1"/>
  <c r="R628" i="1"/>
  <c r="Q628" i="1"/>
  <c r="P628" i="1"/>
  <c r="T628" i="1" s="1"/>
  <c r="S627" i="1"/>
  <c r="R627" i="1"/>
  <c r="Q627" i="1"/>
  <c r="P627" i="1"/>
  <c r="T627" i="1" s="1"/>
  <c r="T626" i="1"/>
  <c r="S626" i="1"/>
  <c r="R626" i="1"/>
  <c r="Q626" i="1"/>
  <c r="P626" i="1"/>
  <c r="S625" i="1"/>
  <c r="R625" i="1"/>
  <c r="Q625" i="1"/>
  <c r="P625" i="1"/>
  <c r="T625" i="1" s="1"/>
  <c r="S624" i="1"/>
  <c r="R624" i="1"/>
  <c r="Q624" i="1"/>
  <c r="P624" i="1"/>
  <c r="T624" i="1" s="1"/>
  <c r="T623" i="1"/>
  <c r="S623" i="1"/>
  <c r="R623" i="1"/>
  <c r="Q623" i="1"/>
  <c r="P623" i="1"/>
  <c r="S622" i="1"/>
  <c r="R622" i="1"/>
  <c r="Q622" i="1"/>
  <c r="P622" i="1"/>
  <c r="T622" i="1" s="1"/>
  <c r="S621" i="1"/>
  <c r="R621" i="1"/>
  <c r="Q621" i="1"/>
  <c r="P621" i="1"/>
  <c r="T621" i="1" s="1"/>
  <c r="S620" i="1"/>
  <c r="R620" i="1"/>
  <c r="Q620" i="1"/>
  <c r="P620" i="1"/>
  <c r="T620" i="1" s="1"/>
  <c r="T619" i="1"/>
  <c r="S619" i="1"/>
  <c r="R619" i="1"/>
  <c r="Q619" i="1"/>
  <c r="P619" i="1"/>
  <c r="T618" i="1"/>
  <c r="S618" i="1"/>
  <c r="R618" i="1"/>
  <c r="Q618" i="1"/>
  <c r="P618" i="1"/>
  <c r="S617" i="1"/>
  <c r="R617" i="1"/>
  <c r="Q617" i="1"/>
  <c r="P617" i="1"/>
  <c r="T617" i="1" s="1"/>
  <c r="T616" i="1"/>
  <c r="S616" i="1"/>
  <c r="R616" i="1"/>
  <c r="Q616" i="1"/>
  <c r="P616" i="1"/>
  <c r="T615" i="1"/>
  <c r="S615" i="1"/>
  <c r="R615" i="1"/>
  <c r="Q615" i="1"/>
  <c r="P615" i="1"/>
  <c r="S614" i="1"/>
  <c r="R614" i="1"/>
  <c r="Q614" i="1"/>
  <c r="P614" i="1"/>
  <c r="T614" i="1" s="1"/>
  <c r="T613" i="1"/>
  <c r="S613" i="1"/>
  <c r="R613" i="1"/>
  <c r="Q613" i="1"/>
  <c r="P613" i="1"/>
  <c r="S612" i="1"/>
  <c r="R612" i="1"/>
  <c r="Q612" i="1"/>
  <c r="P612" i="1"/>
  <c r="T612" i="1" s="1"/>
  <c r="S611" i="1"/>
  <c r="R611" i="1"/>
  <c r="Q611" i="1"/>
  <c r="P611" i="1"/>
  <c r="T611" i="1" s="1"/>
  <c r="S610" i="1"/>
  <c r="R610" i="1"/>
  <c r="Q610" i="1"/>
  <c r="P610" i="1"/>
  <c r="T610" i="1" s="1"/>
  <c r="S609" i="1"/>
  <c r="R609" i="1"/>
  <c r="Q609" i="1"/>
  <c r="P609" i="1"/>
  <c r="T609" i="1" s="1"/>
  <c r="S608" i="1"/>
  <c r="R608" i="1"/>
  <c r="Q608" i="1"/>
  <c r="P608" i="1"/>
  <c r="T608" i="1" s="1"/>
  <c r="S607" i="1"/>
  <c r="R607" i="1"/>
  <c r="Q607" i="1"/>
  <c r="P607" i="1"/>
  <c r="T607" i="1" s="1"/>
  <c r="S606" i="1"/>
  <c r="R606" i="1"/>
  <c r="Q606" i="1"/>
  <c r="P606" i="1"/>
  <c r="T606" i="1" s="1"/>
  <c r="T605" i="1"/>
  <c r="S605" i="1"/>
  <c r="R605" i="1"/>
  <c r="Q605" i="1"/>
  <c r="P605" i="1"/>
  <c r="S604" i="1"/>
  <c r="R604" i="1"/>
  <c r="Q604" i="1"/>
  <c r="P604" i="1"/>
  <c r="T604" i="1" s="1"/>
  <c r="S603" i="1"/>
  <c r="R603" i="1"/>
  <c r="Q603" i="1"/>
  <c r="P603" i="1"/>
  <c r="T603" i="1" s="1"/>
  <c r="T602" i="1"/>
  <c r="S602" i="1"/>
  <c r="R602" i="1"/>
  <c r="Q602" i="1"/>
  <c r="P602" i="1"/>
  <c r="S601" i="1"/>
  <c r="R601" i="1"/>
  <c r="Q601" i="1"/>
  <c r="P601" i="1"/>
  <c r="T601" i="1" s="1"/>
  <c r="S600" i="1"/>
  <c r="R600" i="1"/>
  <c r="Q600" i="1"/>
  <c r="P600" i="1"/>
  <c r="T600" i="1" s="1"/>
  <c r="T599" i="1"/>
  <c r="S599" i="1"/>
  <c r="R599" i="1"/>
  <c r="Q599" i="1"/>
  <c r="P599" i="1"/>
  <c r="S598" i="1"/>
  <c r="R598" i="1"/>
  <c r="Q598" i="1"/>
  <c r="P598" i="1"/>
  <c r="T598" i="1" s="1"/>
  <c r="T597" i="1"/>
  <c r="S597" i="1"/>
  <c r="R597" i="1"/>
  <c r="Q597" i="1"/>
  <c r="P597" i="1"/>
  <c r="S596" i="1"/>
  <c r="R596" i="1"/>
  <c r="Q596" i="1"/>
  <c r="P596" i="1"/>
  <c r="T596" i="1" s="1"/>
  <c r="S595" i="1"/>
  <c r="R595" i="1"/>
  <c r="Q595" i="1"/>
  <c r="P595" i="1"/>
  <c r="T595" i="1" s="1"/>
  <c r="S594" i="1"/>
  <c r="R594" i="1"/>
  <c r="Q594" i="1"/>
  <c r="P594" i="1"/>
  <c r="T594" i="1" s="1"/>
  <c r="S593" i="1"/>
  <c r="R593" i="1"/>
  <c r="Q593" i="1"/>
  <c r="P593" i="1"/>
  <c r="T593" i="1" s="1"/>
  <c r="T592" i="1"/>
  <c r="S592" i="1"/>
  <c r="R592" i="1"/>
  <c r="Q592" i="1"/>
  <c r="P592" i="1"/>
  <c r="T591" i="1"/>
  <c r="S591" i="1"/>
  <c r="R591" i="1"/>
  <c r="Q591" i="1"/>
  <c r="P591" i="1"/>
  <c r="S590" i="1"/>
  <c r="R590" i="1"/>
  <c r="Q590" i="1"/>
  <c r="P590" i="1"/>
  <c r="T590" i="1" s="1"/>
  <c r="S589" i="1"/>
  <c r="R589" i="1"/>
  <c r="Q589" i="1"/>
  <c r="P589" i="1"/>
  <c r="T589" i="1" s="1"/>
  <c r="S588" i="1"/>
  <c r="R588" i="1"/>
  <c r="Q588" i="1"/>
  <c r="P588" i="1"/>
  <c r="T588" i="1" s="1"/>
  <c r="S587" i="1"/>
  <c r="R587" i="1"/>
  <c r="Q587" i="1"/>
  <c r="P587" i="1"/>
  <c r="T587" i="1" s="1"/>
  <c r="S586" i="1"/>
  <c r="R586" i="1"/>
  <c r="Q586" i="1"/>
  <c r="P586" i="1"/>
  <c r="T586" i="1" s="1"/>
  <c r="S585" i="1"/>
  <c r="R585" i="1"/>
  <c r="Q585" i="1"/>
  <c r="P585" i="1"/>
  <c r="T585" i="1" s="1"/>
  <c r="T584" i="1"/>
  <c r="S584" i="1"/>
  <c r="R584" i="1"/>
  <c r="Q584" i="1"/>
  <c r="P584" i="1"/>
  <c r="T583" i="1"/>
  <c r="S583" i="1"/>
  <c r="R583" i="1"/>
  <c r="Q583" i="1"/>
  <c r="P583" i="1"/>
  <c r="S582" i="1"/>
  <c r="R582" i="1"/>
  <c r="Q582" i="1"/>
  <c r="P582" i="1"/>
  <c r="T582" i="1" s="1"/>
  <c r="T581" i="1"/>
  <c r="S581" i="1"/>
  <c r="R581" i="1"/>
  <c r="Q581" i="1"/>
  <c r="P581" i="1"/>
  <c r="S580" i="1"/>
  <c r="R580" i="1"/>
  <c r="Q580" i="1"/>
  <c r="P580" i="1"/>
  <c r="T580" i="1" s="1"/>
  <c r="S579" i="1"/>
  <c r="R579" i="1"/>
  <c r="Q579" i="1"/>
  <c r="P579" i="1"/>
  <c r="T579" i="1" s="1"/>
  <c r="T578" i="1"/>
  <c r="S578" i="1"/>
  <c r="R578" i="1"/>
  <c r="Q578" i="1"/>
  <c r="P578" i="1"/>
  <c r="S577" i="1"/>
  <c r="R577" i="1"/>
  <c r="Q577" i="1"/>
  <c r="P577" i="1"/>
  <c r="T577" i="1" s="1"/>
  <c r="T576" i="1"/>
  <c r="S576" i="1"/>
  <c r="R576" i="1"/>
  <c r="Q576" i="1"/>
  <c r="P576" i="1"/>
  <c r="S575" i="1"/>
  <c r="R575" i="1"/>
  <c r="Q575" i="1"/>
  <c r="P575" i="1"/>
  <c r="T575" i="1" s="1"/>
  <c r="S574" i="1"/>
  <c r="R574" i="1"/>
  <c r="Q574" i="1"/>
  <c r="P574" i="1"/>
  <c r="T574" i="1" s="1"/>
  <c r="S573" i="1"/>
  <c r="R573" i="1"/>
  <c r="Q573" i="1"/>
  <c r="P573" i="1"/>
  <c r="T573" i="1" s="1"/>
  <c r="S572" i="1"/>
  <c r="R572" i="1"/>
  <c r="Q572" i="1"/>
  <c r="P572" i="1"/>
  <c r="T572" i="1" s="1"/>
  <c r="T571" i="1"/>
  <c r="S571" i="1"/>
  <c r="R571" i="1"/>
  <c r="Q571" i="1"/>
  <c r="P571" i="1"/>
  <c r="T570" i="1"/>
  <c r="S570" i="1"/>
  <c r="R570" i="1"/>
  <c r="Q570" i="1"/>
  <c r="P570" i="1"/>
  <c r="S569" i="1"/>
  <c r="R569" i="1"/>
  <c r="Q569" i="1"/>
  <c r="P569" i="1"/>
  <c r="T569" i="1" s="1"/>
  <c r="S568" i="1"/>
  <c r="R568" i="1"/>
  <c r="Q568" i="1"/>
  <c r="P568" i="1"/>
  <c r="T568" i="1" s="1"/>
  <c r="T567" i="1"/>
  <c r="S567" i="1"/>
  <c r="R567" i="1"/>
  <c r="Q567" i="1"/>
  <c r="P567" i="1"/>
  <c r="S566" i="1"/>
  <c r="R566" i="1"/>
  <c r="Q566" i="1"/>
  <c r="P566" i="1"/>
  <c r="T566" i="1" s="1"/>
  <c r="S565" i="1"/>
  <c r="R565" i="1"/>
  <c r="Q565" i="1"/>
  <c r="P565" i="1"/>
  <c r="T565" i="1" s="1"/>
  <c r="S564" i="1"/>
  <c r="R564" i="1"/>
  <c r="Q564" i="1"/>
  <c r="P564" i="1"/>
  <c r="T564" i="1" s="1"/>
  <c r="S563" i="1"/>
  <c r="R563" i="1"/>
  <c r="Q563" i="1"/>
  <c r="P563" i="1"/>
  <c r="T563" i="1" s="1"/>
  <c r="T562" i="1"/>
  <c r="S562" i="1"/>
  <c r="R562" i="1"/>
  <c r="Q562" i="1"/>
  <c r="P562" i="1"/>
  <c r="S561" i="1"/>
  <c r="R561" i="1"/>
  <c r="Q561" i="1"/>
  <c r="P561" i="1"/>
  <c r="T561" i="1" s="1"/>
  <c r="T560" i="1"/>
  <c r="S560" i="1"/>
  <c r="R560" i="1"/>
  <c r="Q560" i="1"/>
  <c r="P560" i="1"/>
  <c r="S559" i="1"/>
  <c r="R559" i="1"/>
  <c r="Q559" i="1"/>
  <c r="P559" i="1"/>
  <c r="T559" i="1" s="1"/>
  <c r="S558" i="1"/>
  <c r="R558" i="1"/>
  <c r="Q558" i="1"/>
  <c r="P558" i="1"/>
  <c r="T558" i="1" s="1"/>
  <c r="T557" i="1"/>
  <c r="S557" i="1"/>
  <c r="R557" i="1"/>
  <c r="Q557" i="1"/>
  <c r="P557" i="1"/>
  <c r="S556" i="1"/>
  <c r="R556" i="1"/>
  <c r="Q556" i="1"/>
  <c r="P556" i="1"/>
  <c r="T556" i="1" s="1"/>
  <c r="T555" i="1"/>
  <c r="S555" i="1"/>
  <c r="R555" i="1"/>
  <c r="Q555" i="1"/>
  <c r="P555" i="1"/>
  <c r="S554" i="1"/>
  <c r="R554" i="1"/>
  <c r="Q554" i="1"/>
  <c r="P554" i="1"/>
  <c r="T554" i="1" s="1"/>
  <c r="S553" i="1"/>
  <c r="R553" i="1"/>
  <c r="Q553" i="1"/>
  <c r="P553" i="1"/>
  <c r="T553" i="1" s="1"/>
  <c r="S552" i="1"/>
  <c r="R552" i="1"/>
  <c r="Q552" i="1"/>
  <c r="P552" i="1"/>
  <c r="T552" i="1" s="1"/>
  <c r="S551" i="1"/>
  <c r="R551" i="1"/>
  <c r="Q551" i="1"/>
  <c r="P551" i="1"/>
  <c r="T551" i="1" s="1"/>
  <c r="S550" i="1"/>
  <c r="R550" i="1"/>
  <c r="Q550" i="1"/>
  <c r="P550" i="1"/>
  <c r="T550" i="1" s="1"/>
  <c r="T549" i="1"/>
  <c r="S549" i="1"/>
  <c r="R549" i="1"/>
  <c r="Q549" i="1"/>
  <c r="P549" i="1"/>
  <c r="S548" i="1"/>
  <c r="R548" i="1"/>
  <c r="Q548" i="1"/>
  <c r="P548" i="1"/>
  <c r="T548" i="1" s="1"/>
  <c r="S547" i="1"/>
  <c r="R547" i="1"/>
  <c r="Q547" i="1"/>
  <c r="P547" i="1"/>
  <c r="T547" i="1" s="1"/>
  <c r="T546" i="1"/>
  <c r="S546" i="1"/>
  <c r="R546" i="1"/>
  <c r="Q546" i="1"/>
  <c r="P546" i="1"/>
  <c r="S545" i="1"/>
  <c r="R545" i="1"/>
  <c r="Q545" i="1"/>
  <c r="P545" i="1"/>
  <c r="T545" i="1" s="1"/>
  <c r="T544" i="1"/>
  <c r="S544" i="1"/>
  <c r="R544" i="1"/>
  <c r="Q544" i="1"/>
  <c r="P544" i="1"/>
  <c r="T543" i="1"/>
  <c r="S543" i="1"/>
  <c r="R543" i="1"/>
  <c r="Q543" i="1"/>
  <c r="P543" i="1"/>
  <c r="S542" i="1"/>
  <c r="R542" i="1"/>
  <c r="Q542" i="1"/>
  <c r="P542" i="1"/>
  <c r="T542" i="1" s="1"/>
  <c r="T541" i="1"/>
  <c r="S541" i="1"/>
  <c r="R541" i="1"/>
  <c r="Q541" i="1"/>
  <c r="P541" i="1"/>
  <c r="S540" i="1"/>
  <c r="R540" i="1"/>
  <c r="Q540" i="1"/>
  <c r="P540" i="1"/>
  <c r="T540" i="1" s="1"/>
  <c r="T539" i="1"/>
  <c r="S539" i="1"/>
  <c r="R539" i="1"/>
  <c r="Q539" i="1"/>
  <c r="P539" i="1"/>
  <c r="S538" i="1"/>
  <c r="R538" i="1"/>
  <c r="Q538" i="1"/>
  <c r="P538" i="1"/>
  <c r="T538" i="1" s="1"/>
  <c r="S537" i="1"/>
  <c r="R537" i="1"/>
  <c r="Q537" i="1"/>
  <c r="P537" i="1"/>
  <c r="T537" i="1" s="1"/>
  <c r="T536" i="1"/>
  <c r="S536" i="1"/>
  <c r="R536" i="1"/>
  <c r="Q536" i="1"/>
  <c r="P536" i="1"/>
  <c r="T535" i="1"/>
  <c r="S535" i="1"/>
  <c r="R535" i="1"/>
  <c r="Q535" i="1"/>
  <c r="P535" i="1"/>
  <c r="S534" i="1"/>
  <c r="R534" i="1"/>
  <c r="Q534" i="1"/>
  <c r="P534" i="1"/>
  <c r="T534" i="1" s="1"/>
  <c r="S533" i="1"/>
  <c r="R533" i="1"/>
  <c r="Q533" i="1"/>
  <c r="P533" i="1"/>
  <c r="T533" i="1" s="1"/>
  <c r="S532" i="1"/>
  <c r="R532" i="1"/>
  <c r="Q532" i="1"/>
  <c r="P532" i="1"/>
  <c r="T532" i="1" s="1"/>
  <c r="S531" i="1"/>
  <c r="R531" i="1"/>
  <c r="Q531" i="1"/>
  <c r="P531" i="1"/>
  <c r="T531" i="1" s="1"/>
  <c r="T530" i="1"/>
  <c r="S530" i="1"/>
  <c r="R530" i="1"/>
  <c r="Q530" i="1"/>
  <c r="P530" i="1"/>
  <c r="S529" i="1"/>
  <c r="R529" i="1"/>
  <c r="Q529" i="1"/>
  <c r="P529" i="1"/>
  <c r="T529" i="1" s="1"/>
  <c r="S528" i="1"/>
  <c r="R528" i="1"/>
  <c r="Q528" i="1"/>
  <c r="P528" i="1"/>
  <c r="T528" i="1" s="1"/>
  <c r="T527" i="1"/>
  <c r="S527" i="1"/>
  <c r="R527" i="1"/>
  <c r="Q527" i="1"/>
  <c r="P527" i="1"/>
  <c r="S526" i="1"/>
  <c r="R526" i="1"/>
  <c r="Q526" i="1"/>
  <c r="P526" i="1"/>
  <c r="T526" i="1" s="1"/>
  <c r="T525" i="1"/>
  <c r="S525" i="1"/>
  <c r="R525" i="1"/>
  <c r="Q525" i="1"/>
  <c r="P525" i="1"/>
  <c r="S524" i="1"/>
  <c r="R524" i="1"/>
  <c r="Q524" i="1"/>
  <c r="P524" i="1"/>
  <c r="T524" i="1" s="1"/>
  <c r="T523" i="1"/>
  <c r="S523" i="1"/>
  <c r="R523" i="1"/>
  <c r="Q523" i="1"/>
  <c r="P523" i="1"/>
  <c r="T522" i="1"/>
  <c r="S522" i="1"/>
  <c r="R522" i="1"/>
  <c r="Q522" i="1"/>
  <c r="P522" i="1"/>
  <c r="S521" i="1"/>
  <c r="R521" i="1"/>
  <c r="Q521" i="1"/>
  <c r="P521" i="1"/>
  <c r="T521" i="1" s="1"/>
  <c r="T520" i="1"/>
  <c r="S520" i="1"/>
  <c r="R520" i="1"/>
  <c r="Q520" i="1"/>
  <c r="P520" i="1"/>
  <c r="S519" i="1"/>
  <c r="R519" i="1"/>
  <c r="Q519" i="1"/>
  <c r="P519" i="1"/>
  <c r="T519" i="1" s="1"/>
  <c r="S518" i="1"/>
  <c r="R518" i="1"/>
  <c r="Q518" i="1"/>
  <c r="P518" i="1"/>
  <c r="T518" i="1" s="1"/>
  <c r="S517" i="1"/>
  <c r="R517" i="1"/>
  <c r="Q517" i="1"/>
  <c r="P517" i="1"/>
  <c r="T517" i="1" s="1"/>
  <c r="S516" i="1"/>
  <c r="R516" i="1"/>
  <c r="Q516" i="1"/>
  <c r="P516" i="1"/>
  <c r="T516" i="1" s="1"/>
  <c r="S515" i="1"/>
  <c r="R515" i="1"/>
  <c r="Q515" i="1"/>
  <c r="P515" i="1"/>
  <c r="T515" i="1" s="1"/>
  <c r="S514" i="1"/>
  <c r="R514" i="1"/>
  <c r="Q514" i="1"/>
  <c r="P514" i="1"/>
  <c r="T514" i="1" s="1"/>
  <c r="S513" i="1"/>
  <c r="R513" i="1"/>
  <c r="Q513" i="1"/>
  <c r="P513" i="1"/>
  <c r="T513" i="1" s="1"/>
  <c r="S512" i="1"/>
  <c r="R512" i="1"/>
  <c r="Q512" i="1"/>
  <c r="P512" i="1"/>
  <c r="T512" i="1" s="1"/>
  <c r="T511" i="1"/>
  <c r="S511" i="1"/>
  <c r="R511" i="1"/>
  <c r="Q511" i="1"/>
  <c r="P511" i="1"/>
  <c r="S510" i="1"/>
  <c r="R510" i="1"/>
  <c r="Q510" i="1"/>
  <c r="P510" i="1"/>
  <c r="T510" i="1" s="1"/>
  <c r="T509" i="1"/>
  <c r="S509" i="1"/>
  <c r="R509" i="1"/>
  <c r="Q509" i="1"/>
  <c r="P509" i="1"/>
  <c r="S508" i="1"/>
  <c r="R508" i="1"/>
  <c r="Q508" i="1"/>
  <c r="P508" i="1"/>
  <c r="T508" i="1" s="1"/>
  <c r="S507" i="1"/>
  <c r="R507" i="1"/>
  <c r="Q507" i="1"/>
  <c r="P507" i="1"/>
  <c r="T507" i="1" s="1"/>
  <c r="T506" i="1"/>
  <c r="S506" i="1"/>
  <c r="R506" i="1"/>
  <c r="Q506" i="1"/>
  <c r="P506" i="1"/>
  <c r="S505" i="1"/>
  <c r="R505" i="1"/>
  <c r="Q505" i="1"/>
  <c r="P505" i="1"/>
  <c r="T505" i="1" s="1"/>
  <c r="T504" i="1"/>
  <c r="S504" i="1"/>
  <c r="R504" i="1"/>
  <c r="Q504" i="1"/>
  <c r="P504" i="1"/>
  <c r="S503" i="1"/>
  <c r="R503" i="1"/>
  <c r="Q503" i="1"/>
  <c r="P503" i="1"/>
  <c r="T503" i="1" s="1"/>
  <c r="S502" i="1"/>
  <c r="R502" i="1"/>
  <c r="Q502" i="1"/>
  <c r="P502" i="1"/>
  <c r="T502" i="1" s="1"/>
  <c r="T501" i="1"/>
  <c r="S501" i="1"/>
  <c r="R501" i="1"/>
  <c r="Q501" i="1"/>
  <c r="P501" i="1"/>
  <c r="S500" i="1"/>
  <c r="R500" i="1"/>
  <c r="Q500" i="1"/>
  <c r="P500" i="1"/>
  <c r="T500" i="1" s="1"/>
  <c r="S499" i="1"/>
  <c r="R499" i="1"/>
  <c r="Q499" i="1"/>
  <c r="P499" i="1"/>
  <c r="T499" i="1" s="1"/>
  <c r="S498" i="1"/>
  <c r="R498" i="1"/>
  <c r="Q498" i="1"/>
  <c r="P498" i="1"/>
  <c r="T498" i="1" s="1"/>
  <c r="S497" i="1"/>
  <c r="R497" i="1"/>
  <c r="Q497" i="1"/>
  <c r="P497" i="1"/>
  <c r="T497" i="1" s="1"/>
  <c r="T496" i="1"/>
  <c r="S496" i="1"/>
  <c r="R496" i="1"/>
  <c r="Q496" i="1"/>
  <c r="P496" i="1"/>
  <c r="T495" i="1"/>
  <c r="S495" i="1"/>
  <c r="R495" i="1"/>
  <c r="Q495" i="1"/>
  <c r="P495" i="1"/>
  <c r="S494" i="1"/>
  <c r="R494" i="1"/>
  <c r="Q494" i="1"/>
  <c r="P494" i="1"/>
  <c r="T494" i="1" s="1"/>
  <c r="S493" i="1"/>
  <c r="R493" i="1"/>
  <c r="Q493" i="1"/>
  <c r="P493" i="1"/>
  <c r="T493" i="1" s="1"/>
  <c r="S492" i="1"/>
  <c r="R492" i="1"/>
  <c r="Q492" i="1"/>
  <c r="P492" i="1"/>
  <c r="T492" i="1" s="1"/>
  <c r="S491" i="1"/>
  <c r="R491" i="1"/>
  <c r="Q491" i="1"/>
  <c r="P491" i="1"/>
  <c r="T491" i="1" s="1"/>
  <c r="T490" i="1"/>
  <c r="S490" i="1"/>
  <c r="R490" i="1"/>
  <c r="Q490" i="1"/>
  <c r="P490" i="1"/>
  <c r="S489" i="1"/>
  <c r="R489" i="1"/>
  <c r="Q489" i="1"/>
  <c r="P489" i="1"/>
  <c r="T489" i="1" s="1"/>
  <c r="T488" i="1"/>
  <c r="S488" i="1"/>
  <c r="R488" i="1"/>
  <c r="Q488" i="1"/>
  <c r="P488" i="1"/>
  <c r="T487" i="1"/>
  <c r="S487" i="1"/>
  <c r="R487" i="1"/>
  <c r="Q487" i="1"/>
  <c r="P487" i="1"/>
  <c r="S486" i="1"/>
  <c r="R486" i="1"/>
  <c r="Q486" i="1"/>
  <c r="P486" i="1"/>
  <c r="T486" i="1" s="1"/>
  <c r="T485" i="1"/>
  <c r="S485" i="1"/>
  <c r="R485" i="1"/>
  <c r="Q485" i="1"/>
  <c r="P485" i="1"/>
  <c r="S484" i="1"/>
  <c r="R484" i="1"/>
  <c r="Q484" i="1"/>
  <c r="P484" i="1"/>
  <c r="T484" i="1" s="1"/>
  <c r="S483" i="1"/>
  <c r="R483" i="1"/>
  <c r="Q483" i="1"/>
  <c r="P483" i="1"/>
  <c r="T483" i="1" s="1"/>
  <c r="T482" i="1"/>
  <c r="S482" i="1"/>
  <c r="R482" i="1"/>
  <c r="Q482" i="1"/>
  <c r="P482" i="1"/>
  <c r="S481" i="1"/>
  <c r="R481" i="1"/>
  <c r="Q481" i="1"/>
  <c r="P481" i="1"/>
  <c r="T481" i="1" s="1"/>
  <c r="S480" i="1"/>
  <c r="R480" i="1"/>
  <c r="Q480" i="1"/>
  <c r="P480" i="1"/>
  <c r="T480" i="1" s="1"/>
  <c r="S479" i="1"/>
  <c r="R479" i="1"/>
  <c r="Q479" i="1"/>
  <c r="P479" i="1"/>
  <c r="T479" i="1" s="1"/>
  <c r="S478" i="1"/>
  <c r="R478" i="1"/>
  <c r="Q478" i="1"/>
  <c r="P478" i="1"/>
  <c r="T478" i="1" s="1"/>
  <c r="S477" i="1"/>
  <c r="R477" i="1"/>
  <c r="Q477" i="1"/>
  <c r="P477" i="1"/>
  <c r="T477" i="1" s="1"/>
  <c r="S476" i="1"/>
  <c r="R476" i="1"/>
  <c r="Q476" i="1"/>
  <c r="P476" i="1"/>
  <c r="T476" i="1" s="1"/>
  <c r="T475" i="1"/>
  <c r="S475" i="1"/>
  <c r="R475" i="1"/>
  <c r="Q475" i="1"/>
  <c r="P475" i="1"/>
  <c r="T474" i="1"/>
  <c r="S474" i="1"/>
  <c r="R474" i="1"/>
  <c r="Q474" i="1"/>
  <c r="P474" i="1"/>
  <c r="S473" i="1"/>
  <c r="R473" i="1"/>
  <c r="Q473" i="1"/>
  <c r="P473" i="1"/>
  <c r="T473" i="1" s="1"/>
  <c r="S472" i="1"/>
  <c r="R472" i="1"/>
  <c r="Q472" i="1"/>
  <c r="P472" i="1"/>
  <c r="T472" i="1" s="1"/>
  <c r="T471" i="1"/>
  <c r="S471" i="1"/>
  <c r="R471" i="1"/>
  <c r="Q471" i="1"/>
  <c r="P471" i="1"/>
  <c r="S470" i="1"/>
  <c r="R470" i="1"/>
  <c r="Q470" i="1"/>
  <c r="P470" i="1"/>
  <c r="T470" i="1" s="1"/>
  <c r="T469" i="1"/>
  <c r="S469" i="1"/>
  <c r="R469" i="1"/>
  <c r="Q469" i="1"/>
  <c r="P469" i="1"/>
  <c r="S468" i="1"/>
  <c r="R468" i="1"/>
  <c r="Q468" i="1"/>
  <c r="P468" i="1"/>
  <c r="T468" i="1" s="1"/>
  <c r="S467" i="1"/>
  <c r="R467" i="1"/>
  <c r="Q467" i="1"/>
  <c r="P467" i="1"/>
  <c r="T467" i="1" s="1"/>
  <c r="S466" i="1"/>
  <c r="R466" i="1"/>
  <c r="Q466" i="1"/>
  <c r="P466" i="1"/>
  <c r="T466" i="1" s="1"/>
  <c r="S465" i="1"/>
  <c r="R465" i="1"/>
  <c r="Q465" i="1"/>
  <c r="P465" i="1"/>
  <c r="T465" i="1" s="1"/>
  <c r="T464" i="1"/>
  <c r="S464" i="1"/>
  <c r="R464" i="1"/>
  <c r="Q464" i="1"/>
  <c r="P464" i="1"/>
  <c r="S463" i="1"/>
  <c r="R463" i="1"/>
  <c r="Q463" i="1"/>
  <c r="P463" i="1"/>
  <c r="T463" i="1" s="1"/>
  <c r="S462" i="1"/>
  <c r="R462" i="1"/>
  <c r="Q462" i="1"/>
  <c r="P462" i="1"/>
  <c r="T462" i="1" s="1"/>
  <c r="T461" i="1"/>
  <c r="S461" i="1"/>
  <c r="R461" i="1"/>
  <c r="Q461" i="1"/>
  <c r="P461" i="1"/>
  <c r="S460" i="1"/>
  <c r="R460" i="1"/>
  <c r="Q460" i="1"/>
  <c r="P460" i="1"/>
  <c r="T460" i="1" s="1"/>
  <c r="S459" i="1"/>
  <c r="R459" i="1"/>
  <c r="Q459" i="1"/>
  <c r="P459" i="1"/>
  <c r="T459" i="1" s="1"/>
  <c r="S458" i="1"/>
  <c r="R458" i="1"/>
  <c r="Q458" i="1"/>
  <c r="P458" i="1"/>
  <c r="T458" i="1" s="1"/>
  <c r="S457" i="1"/>
  <c r="R457" i="1"/>
  <c r="Q457" i="1"/>
  <c r="P457" i="1"/>
  <c r="T457" i="1" s="1"/>
  <c r="S456" i="1"/>
  <c r="R456" i="1"/>
  <c r="Q456" i="1"/>
  <c r="P456" i="1"/>
  <c r="T456" i="1" s="1"/>
  <c r="T455" i="1"/>
  <c r="S455" i="1"/>
  <c r="R455" i="1"/>
  <c r="Q455" i="1"/>
  <c r="P455" i="1"/>
  <c r="S454" i="1"/>
  <c r="R454" i="1"/>
  <c r="Q454" i="1"/>
  <c r="P454" i="1"/>
  <c r="T454" i="1" s="1"/>
  <c r="T453" i="1"/>
  <c r="S453" i="1"/>
  <c r="R453" i="1"/>
  <c r="Q453" i="1"/>
  <c r="P453" i="1"/>
  <c r="S452" i="1"/>
  <c r="R452" i="1"/>
  <c r="Q452" i="1"/>
  <c r="P452" i="1"/>
  <c r="T452" i="1" s="1"/>
  <c r="S451" i="1"/>
  <c r="R451" i="1"/>
  <c r="Q451" i="1"/>
  <c r="P451" i="1"/>
  <c r="T451" i="1" s="1"/>
  <c r="T450" i="1"/>
  <c r="S450" i="1"/>
  <c r="R450" i="1"/>
  <c r="Q450" i="1"/>
  <c r="P450" i="1"/>
  <c r="S449" i="1"/>
  <c r="R449" i="1"/>
  <c r="Q449" i="1"/>
  <c r="P449" i="1"/>
  <c r="T449" i="1" s="1"/>
  <c r="T448" i="1"/>
  <c r="S448" i="1"/>
  <c r="R448" i="1"/>
  <c r="Q448" i="1"/>
  <c r="P448" i="1"/>
  <c r="T447" i="1"/>
  <c r="S447" i="1"/>
  <c r="R447" i="1"/>
  <c r="Q447" i="1"/>
  <c r="P447" i="1"/>
  <c r="S446" i="1"/>
  <c r="R446" i="1"/>
  <c r="Q446" i="1"/>
  <c r="P446" i="1"/>
  <c r="T446" i="1" s="1"/>
  <c r="S445" i="1"/>
  <c r="R445" i="1"/>
  <c r="Q445" i="1"/>
  <c r="P445" i="1"/>
  <c r="T445" i="1" s="1"/>
  <c r="S444" i="1"/>
  <c r="R444" i="1"/>
  <c r="Q444" i="1"/>
  <c r="P444" i="1"/>
  <c r="T444" i="1" s="1"/>
  <c r="T443" i="1"/>
  <c r="S443" i="1"/>
  <c r="R443" i="1"/>
  <c r="Q443" i="1"/>
  <c r="P443" i="1"/>
  <c r="S442" i="1"/>
  <c r="R442" i="1"/>
  <c r="Q442" i="1"/>
  <c r="P442" i="1"/>
  <c r="T442" i="1" s="1"/>
  <c r="S441" i="1"/>
  <c r="R441" i="1"/>
  <c r="Q441" i="1"/>
  <c r="P441" i="1"/>
  <c r="T441" i="1" s="1"/>
  <c r="T440" i="1"/>
  <c r="S440" i="1"/>
  <c r="R440" i="1"/>
  <c r="Q440" i="1"/>
  <c r="P440" i="1"/>
  <c r="T439" i="1"/>
  <c r="S439" i="1"/>
  <c r="R439" i="1"/>
  <c r="Q439" i="1"/>
  <c r="P439" i="1"/>
  <c r="S438" i="1"/>
  <c r="R438" i="1"/>
  <c r="Q438" i="1"/>
  <c r="P438" i="1"/>
  <c r="T438" i="1" s="1"/>
  <c r="S437" i="1"/>
  <c r="R437" i="1"/>
  <c r="Q437" i="1"/>
  <c r="P437" i="1"/>
  <c r="T437" i="1" s="1"/>
  <c r="S436" i="1"/>
  <c r="R436" i="1"/>
  <c r="Q436" i="1"/>
  <c r="P436" i="1"/>
  <c r="T436" i="1" s="1"/>
  <c r="S435" i="1"/>
  <c r="R435" i="1"/>
  <c r="Q435" i="1"/>
  <c r="P435" i="1"/>
  <c r="T435" i="1" s="1"/>
  <c r="T434" i="1"/>
  <c r="S434" i="1"/>
  <c r="R434" i="1"/>
  <c r="Q434" i="1"/>
  <c r="P434" i="1"/>
  <c r="S433" i="1"/>
  <c r="R433" i="1"/>
  <c r="Q433" i="1"/>
  <c r="P433" i="1"/>
  <c r="T433" i="1" s="1"/>
  <c r="T432" i="1"/>
  <c r="S432" i="1"/>
  <c r="R432" i="1"/>
  <c r="Q432" i="1"/>
  <c r="P432" i="1"/>
  <c r="S431" i="1"/>
  <c r="R431" i="1"/>
  <c r="Q431" i="1"/>
  <c r="P431" i="1"/>
  <c r="T431" i="1" s="1"/>
  <c r="S430" i="1"/>
  <c r="R430" i="1"/>
  <c r="Q430" i="1"/>
  <c r="P430" i="1"/>
  <c r="T430" i="1" s="1"/>
  <c r="T429" i="1"/>
  <c r="S429" i="1"/>
  <c r="R429" i="1"/>
  <c r="Q429" i="1"/>
  <c r="P429" i="1"/>
  <c r="S428" i="1"/>
  <c r="R428" i="1"/>
  <c r="Q428" i="1"/>
  <c r="P428" i="1"/>
  <c r="T428" i="1" s="1"/>
  <c r="T427" i="1"/>
  <c r="S427" i="1"/>
  <c r="R427" i="1"/>
  <c r="Q427" i="1"/>
  <c r="P427" i="1"/>
  <c r="T426" i="1"/>
  <c r="S426" i="1"/>
  <c r="R426" i="1"/>
  <c r="Q426" i="1"/>
  <c r="P426" i="1"/>
  <c r="S425" i="1"/>
  <c r="R425" i="1"/>
  <c r="Q425" i="1"/>
  <c r="P425" i="1"/>
  <c r="T425" i="1" s="1"/>
  <c r="S424" i="1"/>
  <c r="R424" i="1"/>
  <c r="Q424" i="1"/>
  <c r="P424" i="1"/>
  <c r="T424" i="1" s="1"/>
  <c r="S423" i="1"/>
  <c r="R423" i="1"/>
  <c r="Q423" i="1"/>
  <c r="P423" i="1"/>
  <c r="T423" i="1" s="1"/>
  <c r="S422" i="1"/>
  <c r="R422" i="1"/>
  <c r="Q422" i="1"/>
  <c r="P422" i="1"/>
  <c r="T422" i="1" s="1"/>
  <c r="S421" i="1"/>
  <c r="R421" i="1"/>
  <c r="Q421" i="1"/>
  <c r="P421" i="1"/>
  <c r="T421" i="1" s="1"/>
  <c r="S420" i="1"/>
  <c r="R420" i="1"/>
  <c r="Q420" i="1"/>
  <c r="P420" i="1"/>
  <c r="T420" i="1" s="1"/>
  <c r="S419" i="1"/>
  <c r="R419" i="1"/>
  <c r="Q419" i="1"/>
  <c r="P419" i="1"/>
  <c r="T419" i="1" s="1"/>
  <c r="T418" i="1"/>
  <c r="S418" i="1"/>
  <c r="R418" i="1"/>
  <c r="Q418" i="1"/>
  <c r="P418" i="1"/>
  <c r="S417" i="1"/>
  <c r="R417" i="1"/>
  <c r="Q417" i="1"/>
  <c r="P417" i="1"/>
  <c r="T417" i="1" s="1"/>
  <c r="T416" i="1"/>
  <c r="S416" i="1"/>
  <c r="R416" i="1"/>
  <c r="Q416" i="1"/>
  <c r="P416" i="1"/>
  <c r="T415" i="1"/>
  <c r="S415" i="1"/>
  <c r="R415" i="1"/>
  <c r="Q415" i="1"/>
  <c r="P415" i="1"/>
  <c r="S414" i="1"/>
  <c r="R414" i="1"/>
  <c r="Q414" i="1"/>
  <c r="P414" i="1"/>
  <c r="T414" i="1" s="1"/>
  <c r="T413" i="1"/>
  <c r="S413" i="1"/>
  <c r="R413" i="1"/>
  <c r="Q413" i="1"/>
  <c r="P413" i="1"/>
  <c r="S412" i="1"/>
  <c r="R412" i="1"/>
  <c r="Q412" i="1"/>
  <c r="P412" i="1"/>
  <c r="T412" i="1" s="1"/>
  <c r="T411" i="1"/>
  <c r="S411" i="1"/>
  <c r="R411" i="1"/>
  <c r="Q411" i="1"/>
  <c r="P411" i="1"/>
  <c r="S410" i="1"/>
  <c r="R410" i="1"/>
  <c r="Q410" i="1"/>
  <c r="P410" i="1"/>
  <c r="T410" i="1" s="1"/>
  <c r="S409" i="1"/>
  <c r="R409" i="1"/>
  <c r="Q409" i="1"/>
  <c r="P409" i="1"/>
  <c r="T409" i="1" s="1"/>
  <c r="T408" i="1"/>
  <c r="S408" i="1"/>
  <c r="R408" i="1"/>
  <c r="Q408" i="1"/>
  <c r="P408" i="1"/>
  <c r="S407" i="1"/>
  <c r="R407" i="1"/>
  <c r="Q407" i="1"/>
  <c r="P407" i="1"/>
  <c r="T407" i="1" s="1"/>
  <c r="S406" i="1"/>
  <c r="R406" i="1"/>
  <c r="Q406" i="1"/>
  <c r="P406" i="1"/>
  <c r="T406" i="1" s="1"/>
  <c r="T405" i="1"/>
  <c r="S405" i="1"/>
  <c r="R405" i="1"/>
  <c r="Q405" i="1"/>
  <c r="P405" i="1"/>
  <c r="S404" i="1"/>
  <c r="R404" i="1"/>
  <c r="Q404" i="1"/>
  <c r="P404" i="1"/>
  <c r="T404" i="1" s="1"/>
  <c r="S403" i="1"/>
  <c r="R403" i="1"/>
  <c r="Q403" i="1"/>
  <c r="P403" i="1"/>
  <c r="T403" i="1" s="1"/>
  <c r="T402" i="1"/>
  <c r="S402" i="1"/>
  <c r="R402" i="1"/>
  <c r="Q402" i="1"/>
  <c r="P402" i="1"/>
  <c r="S401" i="1"/>
  <c r="R401" i="1"/>
  <c r="Q401" i="1"/>
  <c r="P401" i="1"/>
  <c r="T401" i="1" s="1"/>
  <c r="S400" i="1"/>
  <c r="R400" i="1"/>
  <c r="Q400" i="1"/>
  <c r="P400" i="1"/>
  <c r="T400" i="1" s="1"/>
  <c r="T399" i="1"/>
  <c r="S399" i="1"/>
  <c r="R399" i="1"/>
  <c r="Q399" i="1"/>
  <c r="P399" i="1"/>
  <c r="S398" i="1"/>
  <c r="R398" i="1"/>
  <c r="Q398" i="1"/>
  <c r="P398" i="1"/>
  <c r="T398" i="1" s="1"/>
  <c r="T397" i="1"/>
  <c r="S397" i="1"/>
  <c r="R397" i="1"/>
  <c r="Q397" i="1"/>
  <c r="P397" i="1"/>
  <c r="S396" i="1"/>
  <c r="R396" i="1"/>
  <c r="Q396" i="1"/>
  <c r="P396" i="1"/>
  <c r="T396" i="1" s="1"/>
  <c r="T395" i="1"/>
  <c r="S395" i="1"/>
  <c r="R395" i="1"/>
  <c r="Q395" i="1"/>
  <c r="P395" i="1"/>
  <c r="T394" i="1"/>
  <c r="S394" i="1"/>
  <c r="R394" i="1"/>
  <c r="Q394" i="1"/>
  <c r="P394" i="1"/>
  <c r="S393" i="1"/>
  <c r="R393" i="1"/>
  <c r="Q393" i="1"/>
  <c r="P393" i="1"/>
  <c r="T393" i="1" s="1"/>
  <c r="T392" i="1"/>
  <c r="S392" i="1"/>
  <c r="R392" i="1"/>
  <c r="Q392" i="1"/>
  <c r="P392" i="1"/>
  <c r="T391" i="1"/>
  <c r="S391" i="1"/>
  <c r="R391" i="1"/>
  <c r="Q391" i="1"/>
  <c r="P391" i="1"/>
  <c r="S390" i="1"/>
  <c r="R390" i="1"/>
  <c r="Q390" i="1"/>
  <c r="P390" i="1"/>
  <c r="T390" i="1" s="1"/>
  <c r="S389" i="1"/>
  <c r="R389" i="1"/>
  <c r="Q389" i="1"/>
  <c r="P389" i="1"/>
  <c r="T389" i="1" s="1"/>
  <c r="S388" i="1"/>
  <c r="R388" i="1"/>
  <c r="Q388" i="1"/>
  <c r="P388" i="1"/>
  <c r="T388" i="1" s="1"/>
  <c r="S387" i="1"/>
  <c r="R387" i="1"/>
  <c r="Q387" i="1"/>
  <c r="P387" i="1"/>
  <c r="T387" i="1" s="1"/>
  <c r="S386" i="1"/>
  <c r="R386" i="1"/>
  <c r="Q386" i="1"/>
  <c r="P386" i="1"/>
  <c r="T386" i="1" s="1"/>
  <c r="S385" i="1"/>
  <c r="R385" i="1"/>
  <c r="Q385" i="1"/>
  <c r="P385" i="1"/>
  <c r="T385" i="1" s="1"/>
  <c r="T384" i="1"/>
  <c r="S384" i="1"/>
  <c r="R384" i="1"/>
  <c r="Q384" i="1"/>
  <c r="P384" i="1"/>
  <c r="T383" i="1"/>
  <c r="S383" i="1"/>
  <c r="R383" i="1"/>
  <c r="Q383" i="1"/>
  <c r="P383" i="1"/>
  <c r="S382" i="1"/>
  <c r="R382" i="1"/>
  <c r="Q382" i="1"/>
  <c r="P382" i="1"/>
  <c r="T382" i="1" s="1"/>
  <c r="T381" i="1"/>
  <c r="S381" i="1"/>
  <c r="R381" i="1"/>
  <c r="Q381" i="1"/>
  <c r="P381" i="1"/>
  <c r="S380" i="1"/>
  <c r="R380" i="1"/>
  <c r="Q380" i="1"/>
  <c r="P380" i="1"/>
  <c r="T380" i="1" s="1"/>
  <c r="S379" i="1"/>
  <c r="R379" i="1"/>
  <c r="Q379" i="1"/>
  <c r="P379" i="1"/>
  <c r="T379" i="1" s="1"/>
  <c r="T378" i="1"/>
  <c r="S378" i="1"/>
  <c r="R378" i="1"/>
  <c r="Q378" i="1"/>
  <c r="P378" i="1"/>
  <c r="S377" i="1"/>
  <c r="R377" i="1"/>
  <c r="Q377" i="1"/>
  <c r="P377" i="1"/>
  <c r="T377" i="1" s="1"/>
  <c r="T376" i="1"/>
  <c r="S376" i="1"/>
  <c r="R376" i="1"/>
  <c r="Q376" i="1"/>
  <c r="P376" i="1"/>
  <c r="S375" i="1"/>
  <c r="R375" i="1"/>
  <c r="Q375" i="1"/>
  <c r="P375" i="1"/>
  <c r="T375" i="1" s="1"/>
  <c r="S374" i="1"/>
  <c r="R374" i="1"/>
  <c r="Q374" i="1"/>
  <c r="P374" i="1"/>
  <c r="T374" i="1" s="1"/>
  <c r="T373" i="1"/>
  <c r="S373" i="1"/>
  <c r="R373" i="1"/>
  <c r="Q373" i="1"/>
  <c r="P373" i="1"/>
  <c r="S372" i="1"/>
  <c r="R372" i="1"/>
  <c r="Q372" i="1"/>
  <c r="P372" i="1"/>
  <c r="T372" i="1" s="1"/>
  <c r="S371" i="1"/>
  <c r="R371" i="1"/>
  <c r="Q371" i="1"/>
  <c r="P371" i="1"/>
  <c r="T371" i="1" s="1"/>
  <c r="T370" i="1"/>
  <c r="S370" i="1"/>
  <c r="R370" i="1"/>
  <c r="Q370" i="1"/>
  <c r="P370" i="1"/>
  <c r="S369" i="1"/>
  <c r="R369" i="1"/>
  <c r="Q369" i="1"/>
  <c r="P369" i="1"/>
  <c r="T369" i="1" s="1"/>
  <c r="S368" i="1"/>
  <c r="R368" i="1"/>
  <c r="Q368" i="1"/>
  <c r="P368" i="1"/>
  <c r="T368" i="1" s="1"/>
  <c r="T367" i="1"/>
  <c r="S367" i="1"/>
  <c r="R367" i="1"/>
  <c r="Q367" i="1"/>
  <c r="P367" i="1"/>
  <c r="S366" i="1"/>
  <c r="R366" i="1"/>
  <c r="Q366" i="1"/>
  <c r="P366" i="1"/>
  <c r="T366" i="1" s="1"/>
  <c r="S365" i="1"/>
  <c r="R365" i="1"/>
  <c r="Q365" i="1"/>
  <c r="P365" i="1"/>
  <c r="T365" i="1" s="1"/>
  <c r="S364" i="1"/>
  <c r="R364" i="1"/>
  <c r="Q364" i="1"/>
  <c r="P364" i="1"/>
  <c r="T364" i="1" s="1"/>
  <c r="T363" i="1"/>
  <c r="S363" i="1"/>
  <c r="R363" i="1"/>
  <c r="Q363" i="1"/>
  <c r="P363" i="1"/>
  <c r="T362" i="1"/>
  <c r="S362" i="1"/>
  <c r="R362" i="1"/>
  <c r="Q362" i="1"/>
  <c r="P362" i="1"/>
  <c r="S361" i="1"/>
  <c r="R361" i="1"/>
  <c r="Q361" i="1"/>
  <c r="P361" i="1"/>
  <c r="T361" i="1" s="1"/>
  <c r="T360" i="1"/>
  <c r="S360" i="1"/>
  <c r="R360" i="1"/>
  <c r="Q360" i="1"/>
  <c r="P360" i="1"/>
  <c r="T359" i="1"/>
  <c r="S359" i="1"/>
  <c r="R359" i="1"/>
  <c r="Q359" i="1"/>
  <c r="P359" i="1"/>
  <c r="S358" i="1"/>
  <c r="R358" i="1"/>
  <c r="Q358" i="1"/>
  <c r="P358" i="1"/>
  <c r="T358" i="1" s="1"/>
  <c r="T357" i="1"/>
  <c r="S357" i="1"/>
  <c r="R357" i="1"/>
  <c r="Q357" i="1"/>
  <c r="P357" i="1"/>
  <c r="S356" i="1"/>
  <c r="R356" i="1"/>
  <c r="Q356" i="1"/>
  <c r="P356" i="1"/>
  <c r="T356" i="1" s="1"/>
  <c r="S355" i="1"/>
  <c r="R355" i="1"/>
  <c r="Q355" i="1"/>
  <c r="P355" i="1"/>
  <c r="T355" i="1" s="1"/>
  <c r="S354" i="1"/>
  <c r="R354" i="1"/>
  <c r="Q354" i="1"/>
  <c r="P354" i="1"/>
  <c r="T354" i="1" s="1"/>
  <c r="S353" i="1"/>
  <c r="R353" i="1"/>
  <c r="Q353" i="1"/>
  <c r="P353" i="1"/>
  <c r="T353" i="1" s="1"/>
  <c r="S352" i="1"/>
  <c r="R352" i="1"/>
  <c r="Q352" i="1"/>
  <c r="P352" i="1"/>
  <c r="T352" i="1" s="1"/>
  <c r="S351" i="1"/>
  <c r="R351" i="1"/>
  <c r="Q351" i="1"/>
  <c r="P351" i="1"/>
  <c r="T351" i="1" s="1"/>
  <c r="S350" i="1"/>
  <c r="R350" i="1"/>
  <c r="Q350" i="1"/>
  <c r="P350" i="1"/>
  <c r="T350" i="1" s="1"/>
  <c r="T349" i="1"/>
  <c r="S349" i="1"/>
  <c r="R349" i="1"/>
  <c r="Q349" i="1"/>
  <c r="P349" i="1"/>
  <c r="S348" i="1"/>
  <c r="R348" i="1"/>
  <c r="Q348" i="1"/>
  <c r="P348" i="1"/>
  <c r="T348" i="1" s="1"/>
  <c r="S347" i="1"/>
  <c r="R347" i="1"/>
  <c r="Q347" i="1"/>
  <c r="P347" i="1"/>
  <c r="T347" i="1" s="1"/>
  <c r="T346" i="1"/>
  <c r="S346" i="1"/>
  <c r="R346" i="1"/>
  <c r="Q346" i="1"/>
  <c r="P346" i="1"/>
  <c r="S345" i="1"/>
  <c r="R345" i="1"/>
  <c r="Q345" i="1"/>
  <c r="P345" i="1"/>
  <c r="T345" i="1" s="1"/>
  <c r="S344" i="1"/>
  <c r="R344" i="1"/>
  <c r="Q344" i="1"/>
  <c r="P344" i="1"/>
  <c r="T344" i="1" s="1"/>
  <c r="T343" i="1"/>
  <c r="S343" i="1"/>
  <c r="R343" i="1"/>
  <c r="Q343" i="1"/>
  <c r="P343" i="1"/>
  <c r="S342" i="1"/>
  <c r="R342" i="1"/>
  <c r="Q342" i="1"/>
  <c r="P342" i="1"/>
  <c r="T342" i="1" s="1"/>
  <c r="T341" i="1"/>
  <c r="S341" i="1"/>
  <c r="R341" i="1"/>
  <c r="Q341" i="1"/>
  <c r="P341" i="1"/>
  <c r="S340" i="1"/>
  <c r="R340" i="1"/>
  <c r="Q340" i="1"/>
  <c r="P340" i="1"/>
  <c r="T340" i="1" s="1"/>
  <c r="S339" i="1"/>
  <c r="R339" i="1"/>
  <c r="Q339" i="1"/>
  <c r="P339" i="1"/>
  <c r="T339" i="1" s="1"/>
  <c r="S338" i="1"/>
  <c r="R338" i="1"/>
  <c r="Q338" i="1"/>
  <c r="P338" i="1"/>
  <c r="T338" i="1" s="1"/>
  <c r="S337" i="1"/>
  <c r="R337" i="1"/>
  <c r="Q337" i="1"/>
  <c r="P337" i="1"/>
  <c r="T337" i="1" s="1"/>
  <c r="T336" i="1"/>
  <c r="S336" i="1"/>
  <c r="R336" i="1"/>
  <c r="Q336" i="1"/>
  <c r="P336" i="1"/>
  <c r="T335" i="1"/>
  <c r="S335" i="1"/>
  <c r="R335" i="1"/>
  <c r="Q335" i="1"/>
  <c r="P335" i="1"/>
  <c r="S334" i="1"/>
  <c r="R334" i="1"/>
  <c r="Q334" i="1"/>
  <c r="P334" i="1"/>
  <c r="T334" i="1" s="1"/>
  <c r="S333" i="1"/>
  <c r="R333" i="1"/>
  <c r="Q333" i="1"/>
  <c r="P333" i="1"/>
  <c r="T333" i="1" s="1"/>
  <c r="S332" i="1"/>
  <c r="R332" i="1"/>
  <c r="Q332" i="1"/>
  <c r="P332" i="1"/>
  <c r="T332" i="1" s="1"/>
  <c r="S331" i="1"/>
  <c r="R331" i="1"/>
  <c r="Q331" i="1"/>
  <c r="P331" i="1"/>
  <c r="T331" i="1" s="1"/>
  <c r="S330" i="1"/>
  <c r="R330" i="1"/>
  <c r="Q330" i="1"/>
  <c r="P330" i="1"/>
  <c r="T330" i="1" s="1"/>
  <c r="S329" i="1"/>
  <c r="R329" i="1"/>
  <c r="Q329" i="1"/>
  <c r="P329" i="1"/>
  <c r="T329" i="1" s="1"/>
  <c r="T328" i="1"/>
  <c r="S328" i="1"/>
  <c r="R328" i="1"/>
  <c r="Q328" i="1"/>
  <c r="P328" i="1"/>
  <c r="T327" i="1"/>
  <c r="S327" i="1"/>
  <c r="R327" i="1"/>
  <c r="Q327" i="1"/>
  <c r="P327" i="1"/>
  <c r="S326" i="1"/>
  <c r="R326" i="1"/>
  <c r="Q326" i="1"/>
  <c r="P326" i="1"/>
  <c r="T326" i="1" s="1"/>
  <c r="T325" i="1"/>
  <c r="S325" i="1"/>
  <c r="R325" i="1"/>
  <c r="Q325" i="1"/>
  <c r="P325" i="1"/>
  <c r="S324" i="1"/>
  <c r="R324" i="1"/>
  <c r="Q324" i="1"/>
  <c r="P324" i="1"/>
  <c r="T324" i="1" s="1"/>
  <c r="S323" i="1"/>
  <c r="R323" i="1"/>
  <c r="Q323" i="1"/>
  <c r="P323" i="1"/>
  <c r="T323" i="1" s="1"/>
  <c r="T322" i="1"/>
  <c r="S322" i="1"/>
  <c r="R322" i="1"/>
  <c r="Q322" i="1"/>
  <c r="P322" i="1"/>
  <c r="S321" i="1"/>
  <c r="R321" i="1"/>
  <c r="Q321" i="1"/>
  <c r="P321" i="1"/>
  <c r="T321" i="1" s="1"/>
  <c r="T320" i="1"/>
  <c r="S320" i="1"/>
  <c r="R320" i="1"/>
  <c r="Q320" i="1"/>
  <c r="P320" i="1"/>
  <c r="S319" i="1"/>
  <c r="R319" i="1"/>
  <c r="Q319" i="1"/>
  <c r="P319" i="1"/>
  <c r="T319" i="1" s="1"/>
  <c r="S318" i="1"/>
  <c r="R318" i="1"/>
  <c r="Q318" i="1"/>
  <c r="P318" i="1"/>
  <c r="T318" i="1" s="1"/>
  <c r="S317" i="1"/>
  <c r="R317" i="1"/>
  <c r="Q317" i="1"/>
  <c r="P317" i="1"/>
  <c r="T317" i="1" s="1"/>
  <c r="S316" i="1"/>
  <c r="R316" i="1"/>
  <c r="Q316" i="1"/>
  <c r="P316" i="1"/>
  <c r="T316" i="1" s="1"/>
  <c r="T315" i="1"/>
  <c r="S315" i="1"/>
  <c r="R315" i="1"/>
  <c r="Q315" i="1"/>
  <c r="P315" i="1"/>
  <c r="T314" i="1"/>
  <c r="S314" i="1"/>
  <c r="R314" i="1"/>
  <c r="Q314" i="1"/>
  <c r="P314" i="1"/>
  <c r="S313" i="1"/>
  <c r="R313" i="1"/>
  <c r="Q313" i="1"/>
  <c r="P313" i="1"/>
  <c r="T313" i="1" s="1"/>
  <c r="S312" i="1"/>
  <c r="R312" i="1"/>
  <c r="Q312" i="1"/>
  <c r="P312" i="1"/>
  <c r="T312" i="1" s="1"/>
  <c r="T311" i="1"/>
  <c r="S311" i="1"/>
  <c r="R311" i="1"/>
  <c r="Q311" i="1"/>
  <c r="P311" i="1"/>
  <c r="S310" i="1"/>
  <c r="R310" i="1"/>
  <c r="Q310" i="1"/>
  <c r="P310" i="1"/>
  <c r="T310" i="1" s="1"/>
  <c r="S309" i="1"/>
  <c r="R309" i="1"/>
  <c r="Q309" i="1"/>
  <c r="P309" i="1"/>
  <c r="T309" i="1" s="1"/>
  <c r="S308" i="1"/>
  <c r="R308" i="1"/>
  <c r="Q308" i="1"/>
  <c r="P308" i="1"/>
  <c r="T308" i="1" s="1"/>
  <c r="S307" i="1"/>
  <c r="R307" i="1"/>
  <c r="Q307" i="1"/>
  <c r="P307" i="1"/>
  <c r="T307" i="1" s="1"/>
  <c r="T306" i="1"/>
  <c r="S306" i="1"/>
  <c r="R306" i="1"/>
  <c r="Q306" i="1"/>
  <c r="P306" i="1"/>
  <c r="S305" i="1"/>
  <c r="R305" i="1"/>
  <c r="Q305" i="1"/>
  <c r="P305" i="1"/>
  <c r="T305" i="1" s="1"/>
  <c r="T304" i="1"/>
  <c r="S304" i="1"/>
  <c r="R304" i="1"/>
  <c r="Q304" i="1"/>
  <c r="P304" i="1"/>
  <c r="S303" i="1"/>
  <c r="R303" i="1"/>
  <c r="Q303" i="1"/>
  <c r="P303" i="1"/>
  <c r="T303" i="1" s="1"/>
  <c r="S302" i="1"/>
  <c r="R302" i="1"/>
  <c r="Q302" i="1"/>
  <c r="P302" i="1"/>
  <c r="T302" i="1" s="1"/>
  <c r="T301" i="1"/>
  <c r="S301" i="1"/>
  <c r="R301" i="1"/>
  <c r="Q301" i="1"/>
  <c r="P301" i="1"/>
  <c r="S300" i="1"/>
  <c r="R300" i="1"/>
  <c r="Q300" i="1"/>
  <c r="P300" i="1"/>
  <c r="T300" i="1" s="1"/>
  <c r="T299" i="1"/>
  <c r="S299" i="1"/>
  <c r="R299" i="1"/>
  <c r="Q299" i="1"/>
  <c r="P299" i="1"/>
  <c r="S298" i="1"/>
  <c r="R298" i="1"/>
  <c r="Q298" i="1"/>
  <c r="P298" i="1"/>
  <c r="T298" i="1" s="1"/>
  <c r="S297" i="1"/>
  <c r="R297" i="1"/>
  <c r="Q297" i="1"/>
  <c r="P297" i="1"/>
  <c r="T297" i="1" s="1"/>
  <c r="S296" i="1"/>
  <c r="R296" i="1"/>
  <c r="Q296" i="1"/>
  <c r="P296" i="1"/>
  <c r="T296" i="1" s="1"/>
  <c r="S295" i="1"/>
  <c r="R295" i="1"/>
  <c r="Q295" i="1"/>
  <c r="P295" i="1"/>
  <c r="T295" i="1" s="1"/>
  <c r="S294" i="1"/>
  <c r="R294" i="1"/>
  <c r="Q294" i="1"/>
  <c r="P294" i="1"/>
  <c r="T294" i="1" s="1"/>
  <c r="T293" i="1"/>
  <c r="S293" i="1"/>
  <c r="R293" i="1"/>
  <c r="Q293" i="1"/>
  <c r="P293" i="1"/>
  <c r="S292" i="1"/>
  <c r="R292" i="1"/>
  <c r="Q292" i="1"/>
  <c r="P292" i="1"/>
  <c r="T292" i="1" s="1"/>
  <c r="S291" i="1"/>
  <c r="R291" i="1"/>
  <c r="Q291" i="1"/>
  <c r="P291" i="1"/>
  <c r="T291" i="1" s="1"/>
  <c r="T290" i="1"/>
  <c r="S290" i="1"/>
  <c r="R290" i="1"/>
  <c r="Q290" i="1"/>
  <c r="P290" i="1"/>
  <c r="S289" i="1"/>
  <c r="R289" i="1"/>
  <c r="Q289" i="1"/>
  <c r="P289" i="1"/>
  <c r="T289" i="1" s="1"/>
  <c r="T288" i="1"/>
  <c r="S288" i="1"/>
  <c r="R288" i="1"/>
  <c r="Q288" i="1"/>
  <c r="P288" i="1"/>
  <c r="T287" i="1"/>
  <c r="S287" i="1"/>
  <c r="R287" i="1"/>
  <c r="Q287" i="1"/>
  <c r="P287" i="1"/>
  <c r="S286" i="1"/>
  <c r="R286" i="1"/>
  <c r="Q286" i="1"/>
  <c r="P286" i="1"/>
  <c r="T286" i="1" s="1"/>
  <c r="T285" i="1"/>
  <c r="S285" i="1"/>
  <c r="R285" i="1"/>
  <c r="Q285" i="1"/>
  <c r="P285" i="1"/>
  <c r="S284" i="1"/>
  <c r="R284" i="1"/>
  <c r="Q284" i="1"/>
  <c r="P284" i="1"/>
  <c r="T284" i="1" s="1"/>
  <c r="T283" i="1"/>
  <c r="S283" i="1"/>
  <c r="R283" i="1"/>
  <c r="Q283" i="1"/>
  <c r="P283" i="1"/>
  <c r="S282" i="1"/>
  <c r="R282" i="1"/>
  <c r="Q282" i="1"/>
  <c r="P282" i="1"/>
  <c r="T282" i="1" s="1"/>
  <c r="S281" i="1"/>
  <c r="R281" i="1"/>
  <c r="Q281" i="1"/>
  <c r="P281" i="1"/>
  <c r="T281" i="1" s="1"/>
  <c r="T280" i="1"/>
  <c r="S280" i="1"/>
  <c r="R280" i="1"/>
  <c r="Q280" i="1"/>
  <c r="P280" i="1"/>
  <c r="T279" i="1"/>
  <c r="S279" i="1"/>
  <c r="R279" i="1"/>
  <c r="Q279" i="1"/>
  <c r="P279" i="1"/>
  <c r="S278" i="1"/>
  <c r="R278" i="1"/>
  <c r="Q278" i="1"/>
  <c r="P278" i="1"/>
  <c r="T278" i="1" s="1"/>
  <c r="S277" i="1"/>
  <c r="R277" i="1"/>
  <c r="Q277" i="1"/>
  <c r="P277" i="1"/>
  <c r="T277" i="1" s="1"/>
  <c r="S276" i="1"/>
  <c r="R276" i="1"/>
  <c r="Q276" i="1"/>
  <c r="P276" i="1"/>
  <c r="T276" i="1" s="1"/>
  <c r="S275" i="1"/>
  <c r="R275" i="1"/>
  <c r="Q275" i="1"/>
  <c r="P275" i="1"/>
  <c r="T275" i="1" s="1"/>
  <c r="T274" i="1"/>
  <c r="S274" i="1"/>
  <c r="R274" i="1"/>
  <c r="Q274" i="1"/>
  <c r="P274" i="1"/>
  <c r="S273" i="1"/>
  <c r="R273" i="1"/>
  <c r="Q273" i="1"/>
  <c r="P273" i="1"/>
  <c r="T273" i="1" s="1"/>
  <c r="S272" i="1"/>
  <c r="R272" i="1"/>
  <c r="Q272" i="1"/>
  <c r="P272" i="1"/>
  <c r="T272" i="1" s="1"/>
  <c r="T271" i="1"/>
  <c r="S271" i="1"/>
  <c r="R271" i="1"/>
  <c r="Q271" i="1"/>
  <c r="P271" i="1"/>
  <c r="S270" i="1"/>
  <c r="R270" i="1"/>
  <c r="Q270" i="1"/>
  <c r="P270" i="1"/>
  <c r="T270" i="1" s="1"/>
  <c r="T269" i="1"/>
  <c r="S269" i="1"/>
  <c r="R269" i="1"/>
  <c r="Q269" i="1"/>
  <c r="P269" i="1"/>
  <c r="S268" i="1"/>
  <c r="R268" i="1"/>
  <c r="Q268" i="1"/>
  <c r="P268" i="1"/>
  <c r="T268" i="1" s="1"/>
  <c r="T267" i="1"/>
  <c r="S267" i="1"/>
  <c r="R267" i="1"/>
  <c r="Q267" i="1"/>
  <c r="P267" i="1"/>
  <c r="T266" i="1"/>
  <c r="S266" i="1"/>
  <c r="R266" i="1"/>
  <c r="Q266" i="1"/>
  <c r="P266" i="1"/>
  <c r="S265" i="1"/>
  <c r="R265" i="1"/>
  <c r="Q265" i="1"/>
  <c r="P265" i="1"/>
  <c r="T265" i="1" s="1"/>
  <c r="T264" i="1"/>
  <c r="S264" i="1"/>
  <c r="R264" i="1"/>
  <c r="Q264" i="1"/>
  <c r="P264" i="1"/>
  <c r="S263" i="1"/>
  <c r="R263" i="1"/>
  <c r="Q263" i="1"/>
  <c r="P263" i="1"/>
  <c r="T263" i="1" s="1"/>
  <c r="S262" i="1"/>
  <c r="R262" i="1"/>
  <c r="Q262" i="1"/>
  <c r="P262" i="1"/>
  <c r="T262" i="1" s="1"/>
  <c r="S261" i="1"/>
  <c r="R261" i="1"/>
  <c r="Q261" i="1"/>
  <c r="P261" i="1"/>
  <c r="T261" i="1" s="1"/>
  <c r="S260" i="1"/>
  <c r="R260" i="1"/>
  <c r="Q260" i="1"/>
  <c r="P260" i="1"/>
  <c r="T260" i="1" s="1"/>
  <c r="S259" i="1"/>
  <c r="R259" i="1"/>
  <c r="Q259" i="1"/>
  <c r="P259" i="1"/>
  <c r="T259" i="1" s="1"/>
  <c r="S258" i="1"/>
  <c r="R258" i="1"/>
  <c r="Q258" i="1"/>
  <c r="P258" i="1"/>
  <c r="T258" i="1" s="1"/>
  <c r="S257" i="1"/>
  <c r="R257" i="1"/>
  <c r="Q257" i="1"/>
  <c r="P257" i="1"/>
  <c r="T257" i="1" s="1"/>
  <c r="S256" i="1"/>
  <c r="R256" i="1"/>
  <c r="Q256" i="1"/>
  <c r="P256" i="1"/>
  <c r="T256" i="1" s="1"/>
  <c r="T255" i="1"/>
  <c r="S255" i="1"/>
  <c r="R255" i="1"/>
  <c r="Q255" i="1"/>
  <c r="P255" i="1"/>
  <c r="S254" i="1"/>
  <c r="R254" i="1"/>
  <c r="Q254" i="1"/>
  <c r="P254" i="1"/>
  <c r="T254" i="1" s="1"/>
  <c r="T253" i="1"/>
  <c r="S253" i="1"/>
  <c r="R253" i="1"/>
  <c r="Q253" i="1"/>
  <c r="P253" i="1"/>
  <c r="S252" i="1"/>
  <c r="R252" i="1"/>
  <c r="Q252" i="1"/>
  <c r="P252" i="1"/>
  <c r="T252" i="1" s="1"/>
  <c r="S251" i="1"/>
  <c r="R251" i="1"/>
  <c r="Q251" i="1"/>
  <c r="P251" i="1"/>
  <c r="T251" i="1" s="1"/>
  <c r="T250" i="1"/>
  <c r="S250" i="1"/>
  <c r="R250" i="1"/>
  <c r="Q250" i="1"/>
  <c r="P250" i="1"/>
  <c r="S249" i="1"/>
  <c r="R249" i="1"/>
  <c r="Q249" i="1"/>
  <c r="P249" i="1"/>
  <c r="T249" i="1" s="1"/>
  <c r="T248" i="1"/>
  <c r="S248" i="1"/>
  <c r="R248" i="1"/>
  <c r="Q248" i="1"/>
  <c r="P248" i="1"/>
  <c r="S247" i="1"/>
  <c r="R247" i="1"/>
  <c r="Q247" i="1"/>
  <c r="P247" i="1"/>
  <c r="T247" i="1" s="1"/>
  <c r="S246" i="1"/>
  <c r="R246" i="1"/>
  <c r="Q246" i="1"/>
  <c r="P246" i="1"/>
  <c r="T246" i="1" s="1"/>
  <c r="T245" i="1"/>
  <c r="S245" i="1"/>
  <c r="R245" i="1"/>
  <c r="Q245" i="1"/>
  <c r="P245" i="1"/>
  <c r="S244" i="1"/>
  <c r="R244" i="1"/>
  <c r="Q244" i="1"/>
  <c r="P244" i="1"/>
  <c r="T244" i="1" s="1"/>
  <c r="S243" i="1"/>
  <c r="R243" i="1"/>
  <c r="Q243" i="1"/>
  <c r="P243" i="1"/>
  <c r="T243" i="1" s="1"/>
  <c r="S242" i="1"/>
  <c r="R242" i="1"/>
  <c r="Q242" i="1"/>
  <c r="P242" i="1"/>
  <c r="T242" i="1" s="1"/>
  <c r="S241" i="1"/>
  <c r="R241" i="1"/>
  <c r="Q241" i="1"/>
  <c r="P241" i="1"/>
  <c r="T241" i="1" s="1"/>
  <c r="T240" i="1"/>
  <c r="S240" i="1"/>
  <c r="R240" i="1"/>
  <c r="Q240" i="1"/>
  <c r="P240" i="1"/>
  <c r="T239" i="1"/>
  <c r="S239" i="1"/>
  <c r="R239" i="1"/>
  <c r="Q239" i="1"/>
  <c r="P239" i="1"/>
  <c r="S238" i="1"/>
  <c r="R238" i="1"/>
  <c r="Q238" i="1"/>
  <c r="P238" i="1"/>
  <c r="T238" i="1" s="1"/>
  <c r="S237" i="1"/>
  <c r="R237" i="1"/>
  <c r="Q237" i="1"/>
  <c r="P237" i="1"/>
  <c r="T237" i="1" s="1"/>
  <c r="S236" i="1"/>
  <c r="R236" i="1"/>
  <c r="Q236" i="1"/>
  <c r="P236" i="1"/>
  <c r="T236" i="1" s="1"/>
  <c r="S235" i="1"/>
  <c r="R235" i="1"/>
  <c r="Q235" i="1"/>
  <c r="P235" i="1"/>
  <c r="T235" i="1" s="1"/>
  <c r="T234" i="1"/>
  <c r="S234" i="1"/>
  <c r="R234" i="1"/>
  <c r="Q234" i="1"/>
  <c r="P234" i="1"/>
  <c r="S233" i="1"/>
  <c r="R233" i="1"/>
  <c r="Q233" i="1"/>
  <c r="P233" i="1"/>
  <c r="T233" i="1" s="1"/>
  <c r="T232" i="1"/>
  <c r="S232" i="1"/>
  <c r="R232" i="1"/>
  <c r="Q232" i="1"/>
  <c r="P232" i="1"/>
  <c r="T231" i="1"/>
  <c r="S231" i="1"/>
  <c r="R231" i="1"/>
  <c r="Q231" i="1"/>
  <c r="P231" i="1"/>
  <c r="S230" i="1"/>
  <c r="R230" i="1"/>
  <c r="Q230" i="1"/>
  <c r="P230" i="1"/>
  <c r="T230" i="1" s="1"/>
  <c r="T229" i="1"/>
  <c r="S229" i="1"/>
  <c r="R229" i="1"/>
  <c r="Q229" i="1"/>
  <c r="P229" i="1"/>
  <c r="S228" i="1"/>
  <c r="R228" i="1"/>
  <c r="Q228" i="1"/>
  <c r="P228" i="1"/>
  <c r="T228" i="1" s="1"/>
  <c r="S227" i="1"/>
  <c r="R227" i="1"/>
  <c r="Q227" i="1"/>
  <c r="P227" i="1"/>
  <c r="T227" i="1" s="1"/>
  <c r="T226" i="1"/>
  <c r="S226" i="1"/>
  <c r="R226" i="1"/>
  <c r="Q226" i="1"/>
  <c r="P226" i="1"/>
  <c r="S225" i="1"/>
  <c r="R225" i="1"/>
  <c r="Q225" i="1"/>
  <c r="P225" i="1"/>
  <c r="T225" i="1" s="1"/>
  <c r="S224" i="1"/>
  <c r="R224" i="1"/>
  <c r="Q224" i="1"/>
  <c r="P224" i="1"/>
  <c r="T224" i="1" s="1"/>
  <c r="S223" i="1"/>
  <c r="R223" i="1"/>
  <c r="Q223" i="1"/>
  <c r="P223" i="1"/>
  <c r="T223" i="1" s="1"/>
  <c r="S222" i="1"/>
  <c r="R222" i="1"/>
  <c r="Q222" i="1"/>
  <c r="P222" i="1"/>
  <c r="T222" i="1" s="1"/>
  <c r="S221" i="1"/>
  <c r="R221" i="1"/>
  <c r="Q221" i="1"/>
  <c r="P221" i="1"/>
  <c r="T221" i="1" s="1"/>
  <c r="S220" i="1"/>
  <c r="R220" i="1"/>
  <c r="Q220" i="1"/>
  <c r="P220" i="1"/>
  <c r="T220" i="1" s="1"/>
  <c r="T219" i="1"/>
  <c r="S219" i="1"/>
  <c r="R219" i="1"/>
  <c r="Q219" i="1"/>
  <c r="P219" i="1"/>
  <c r="T218" i="1"/>
  <c r="S218" i="1"/>
  <c r="R218" i="1"/>
  <c r="Q218" i="1"/>
  <c r="P218" i="1"/>
  <c r="S217" i="1"/>
  <c r="R217" i="1"/>
  <c r="Q217" i="1"/>
  <c r="P217" i="1"/>
  <c r="T217" i="1" s="1"/>
  <c r="S216" i="1"/>
  <c r="R216" i="1"/>
  <c r="Q216" i="1"/>
  <c r="P216" i="1"/>
  <c r="T216" i="1" s="1"/>
  <c r="T215" i="1"/>
  <c r="S215" i="1"/>
  <c r="R215" i="1"/>
  <c r="Q215" i="1"/>
  <c r="P215" i="1"/>
  <c r="S214" i="1"/>
  <c r="R214" i="1"/>
  <c r="Q214" i="1"/>
  <c r="P214" i="1"/>
  <c r="T214" i="1" s="1"/>
  <c r="T213" i="1"/>
  <c r="S213" i="1"/>
  <c r="R213" i="1"/>
  <c r="Q213" i="1"/>
  <c r="P213" i="1"/>
  <c r="S212" i="1"/>
  <c r="R212" i="1"/>
  <c r="Q212" i="1"/>
  <c r="P212" i="1"/>
  <c r="T212" i="1" s="1"/>
  <c r="S211" i="1"/>
  <c r="R211" i="1"/>
  <c r="Q211" i="1"/>
  <c r="P211" i="1"/>
  <c r="T211" i="1" s="1"/>
  <c r="S210" i="1"/>
  <c r="R210" i="1"/>
  <c r="Q210" i="1"/>
  <c r="P210" i="1"/>
  <c r="T210" i="1" s="1"/>
  <c r="S209" i="1"/>
  <c r="R209" i="1"/>
  <c r="Q209" i="1"/>
  <c r="P209" i="1"/>
  <c r="T209" i="1" s="1"/>
  <c r="T208" i="1"/>
  <c r="S208" i="1"/>
  <c r="R208" i="1"/>
  <c r="Q208" i="1"/>
  <c r="P208" i="1"/>
  <c r="S207" i="1"/>
  <c r="R207" i="1"/>
  <c r="Q207" i="1"/>
  <c r="P207" i="1"/>
  <c r="T207" i="1" s="1"/>
  <c r="S206" i="1"/>
  <c r="R206" i="1"/>
  <c r="Q206" i="1"/>
  <c r="P206" i="1"/>
  <c r="T206" i="1" s="1"/>
  <c r="T205" i="1"/>
  <c r="S205" i="1"/>
  <c r="R205" i="1"/>
  <c r="Q205" i="1"/>
  <c r="P205" i="1"/>
  <c r="S204" i="1"/>
  <c r="R204" i="1"/>
  <c r="Q204" i="1"/>
  <c r="P204" i="1"/>
  <c r="T204" i="1" s="1"/>
  <c r="S203" i="1"/>
  <c r="R203" i="1"/>
  <c r="Q203" i="1"/>
  <c r="P203" i="1"/>
  <c r="T203" i="1" s="1"/>
  <c r="S202" i="1"/>
  <c r="R202" i="1"/>
  <c r="Q202" i="1"/>
  <c r="P202" i="1"/>
  <c r="T202" i="1" s="1"/>
  <c r="S201" i="1"/>
  <c r="R201" i="1"/>
  <c r="Q201" i="1"/>
  <c r="P201" i="1"/>
  <c r="T201" i="1" s="1"/>
  <c r="S200" i="1"/>
  <c r="R200" i="1"/>
  <c r="Q200" i="1"/>
  <c r="P200" i="1"/>
  <c r="T200" i="1" s="1"/>
  <c r="T199" i="1"/>
  <c r="S199" i="1"/>
  <c r="R199" i="1"/>
  <c r="Q199" i="1"/>
  <c r="P199" i="1"/>
  <c r="S198" i="1"/>
  <c r="R198" i="1"/>
  <c r="Q198" i="1"/>
  <c r="P198" i="1"/>
  <c r="T198" i="1" s="1"/>
  <c r="T197" i="1"/>
  <c r="S197" i="1"/>
  <c r="R197" i="1"/>
  <c r="Q197" i="1"/>
  <c r="P197" i="1"/>
  <c r="S196" i="1"/>
  <c r="R196" i="1"/>
  <c r="Q196" i="1"/>
  <c r="P196" i="1"/>
  <c r="T196" i="1" s="1"/>
  <c r="S195" i="1"/>
  <c r="R195" i="1"/>
  <c r="Q195" i="1"/>
  <c r="P195" i="1"/>
  <c r="T195" i="1" s="1"/>
  <c r="T194" i="1"/>
  <c r="S194" i="1"/>
  <c r="R194" i="1"/>
  <c r="Q194" i="1"/>
  <c r="P194" i="1"/>
  <c r="S193" i="1"/>
  <c r="R193" i="1"/>
  <c r="Q193" i="1"/>
  <c r="P193" i="1"/>
  <c r="T193" i="1" s="1"/>
  <c r="T192" i="1"/>
  <c r="S192" i="1"/>
  <c r="R192" i="1"/>
  <c r="Q192" i="1"/>
  <c r="P192" i="1"/>
  <c r="T191" i="1"/>
  <c r="S191" i="1"/>
  <c r="R191" i="1"/>
  <c r="Q191" i="1"/>
  <c r="P191" i="1"/>
  <c r="S190" i="1"/>
  <c r="R190" i="1"/>
  <c r="Q190" i="1"/>
  <c r="P190" i="1"/>
  <c r="T190" i="1" s="1"/>
  <c r="S189" i="1"/>
  <c r="R189" i="1"/>
  <c r="Q189" i="1"/>
  <c r="P189" i="1"/>
  <c r="T189" i="1" s="1"/>
  <c r="S188" i="1"/>
  <c r="R188" i="1"/>
  <c r="Q188" i="1"/>
  <c r="P188" i="1"/>
  <c r="T188" i="1" s="1"/>
  <c r="T187" i="1"/>
  <c r="S187" i="1"/>
  <c r="R187" i="1"/>
  <c r="Q187" i="1"/>
  <c r="P187" i="1"/>
  <c r="S186" i="1"/>
  <c r="R186" i="1"/>
  <c r="Q186" i="1"/>
  <c r="P186" i="1"/>
  <c r="T186" i="1" s="1"/>
  <c r="S185" i="1"/>
  <c r="R185" i="1"/>
  <c r="Q185" i="1"/>
  <c r="P185" i="1"/>
  <c r="T185" i="1" s="1"/>
  <c r="T184" i="1"/>
  <c r="S184" i="1"/>
  <c r="R184" i="1"/>
  <c r="Q184" i="1"/>
  <c r="P184" i="1"/>
  <c r="T183" i="1"/>
  <c r="S183" i="1"/>
  <c r="R183" i="1"/>
  <c r="Q183" i="1"/>
  <c r="P183" i="1"/>
  <c r="S182" i="1"/>
  <c r="R182" i="1"/>
  <c r="Q182" i="1"/>
  <c r="P182" i="1"/>
  <c r="T182" i="1" s="1"/>
  <c r="S181" i="1"/>
  <c r="R181" i="1"/>
  <c r="Q181" i="1"/>
  <c r="P181" i="1"/>
  <c r="T181" i="1" s="1"/>
  <c r="S180" i="1"/>
  <c r="R180" i="1"/>
  <c r="Q180" i="1"/>
  <c r="P180" i="1"/>
  <c r="T180" i="1" s="1"/>
  <c r="S179" i="1"/>
  <c r="R179" i="1"/>
  <c r="Q179" i="1"/>
  <c r="P179" i="1"/>
  <c r="T179" i="1" s="1"/>
  <c r="T178" i="1"/>
  <c r="S178" i="1"/>
  <c r="R178" i="1"/>
  <c r="Q178" i="1"/>
  <c r="P178" i="1"/>
  <c r="S177" i="1"/>
  <c r="R177" i="1"/>
  <c r="Q177" i="1"/>
  <c r="P177" i="1"/>
  <c r="T177" i="1" s="1"/>
  <c r="T176" i="1"/>
  <c r="S176" i="1"/>
  <c r="R176" i="1"/>
  <c r="Q176" i="1"/>
  <c r="P176" i="1"/>
  <c r="S175" i="1"/>
  <c r="R175" i="1"/>
  <c r="Q175" i="1"/>
  <c r="P175" i="1"/>
  <c r="T175" i="1" s="1"/>
  <c r="S174" i="1"/>
  <c r="R174" i="1"/>
  <c r="Q174" i="1"/>
  <c r="P174" i="1"/>
  <c r="T174" i="1" s="1"/>
  <c r="T173" i="1"/>
  <c r="S173" i="1"/>
  <c r="R173" i="1"/>
  <c r="Q173" i="1"/>
  <c r="P173" i="1"/>
  <c r="S172" i="1"/>
  <c r="R172" i="1"/>
  <c r="Q172" i="1"/>
  <c r="P172" i="1"/>
  <c r="T172" i="1" s="1"/>
  <c r="T171" i="1"/>
  <c r="S171" i="1"/>
  <c r="R171" i="1"/>
  <c r="Q171" i="1"/>
  <c r="P171" i="1"/>
  <c r="T170" i="1"/>
  <c r="S170" i="1"/>
  <c r="R170" i="1"/>
  <c r="Q170" i="1"/>
  <c r="P170" i="1"/>
  <c r="S169" i="1"/>
  <c r="R169" i="1"/>
  <c r="Q169" i="1"/>
  <c r="P169" i="1"/>
  <c r="T169" i="1" s="1"/>
  <c r="S168" i="1"/>
  <c r="R168" i="1"/>
  <c r="Q168" i="1"/>
  <c r="P168" i="1"/>
  <c r="T168" i="1" s="1"/>
  <c r="S167" i="1"/>
  <c r="R167" i="1"/>
  <c r="Q167" i="1"/>
  <c r="P167" i="1"/>
  <c r="T167" i="1" s="1"/>
  <c r="S166" i="1"/>
  <c r="R166" i="1"/>
  <c r="Q166" i="1"/>
  <c r="P166" i="1"/>
  <c r="T166" i="1" s="1"/>
  <c r="S165" i="1"/>
  <c r="R165" i="1"/>
  <c r="Q165" i="1"/>
  <c r="P165" i="1"/>
  <c r="T165" i="1" s="1"/>
  <c r="S164" i="1"/>
  <c r="R164" i="1"/>
  <c r="Q164" i="1"/>
  <c r="P164" i="1"/>
  <c r="T164" i="1" s="1"/>
  <c r="S163" i="1"/>
  <c r="R163" i="1"/>
  <c r="Q163" i="1"/>
  <c r="P163" i="1"/>
  <c r="T163" i="1" s="1"/>
  <c r="T162" i="1"/>
  <c r="S162" i="1"/>
  <c r="R162" i="1"/>
  <c r="Q162" i="1"/>
  <c r="P162" i="1"/>
  <c r="S161" i="1"/>
  <c r="R161" i="1"/>
  <c r="Q161" i="1"/>
  <c r="P161" i="1"/>
  <c r="T161" i="1" s="1"/>
  <c r="T160" i="1"/>
  <c r="S160" i="1"/>
  <c r="R160" i="1"/>
  <c r="Q160" i="1"/>
  <c r="P160" i="1"/>
  <c r="T159" i="1"/>
  <c r="S159" i="1"/>
  <c r="R159" i="1"/>
  <c r="Q159" i="1"/>
  <c r="P159" i="1"/>
  <c r="S158" i="1"/>
  <c r="R158" i="1"/>
  <c r="Q158" i="1"/>
  <c r="P158" i="1"/>
  <c r="T158" i="1" s="1"/>
  <c r="T157" i="1"/>
  <c r="S157" i="1"/>
  <c r="R157" i="1"/>
  <c r="Q157" i="1"/>
  <c r="P157" i="1"/>
  <c r="S156" i="1"/>
  <c r="R156" i="1"/>
  <c r="Q156" i="1"/>
  <c r="P156" i="1"/>
  <c r="T156" i="1" s="1"/>
  <c r="T155" i="1"/>
  <c r="S155" i="1"/>
  <c r="R155" i="1"/>
  <c r="Q155" i="1"/>
  <c r="P155" i="1"/>
  <c r="S154" i="1"/>
  <c r="R154" i="1"/>
  <c r="Q154" i="1"/>
  <c r="P154" i="1"/>
  <c r="T154" i="1" s="1"/>
  <c r="S153" i="1"/>
  <c r="R153" i="1"/>
  <c r="Q153" i="1"/>
  <c r="P153" i="1"/>
  <c r="T153" i="1" s="1"/>
  <c r="T152" i="1"/>
  <c r="S152" i="1"/>
  <c r="R152" i="1"/>
  <c r="Q152" i="1"/>
  <c r="P152" i="1"/>
  <c r="S151" i="1"/>
  <c r="R151" i="1"/>
  <c r="Q151" i="1"/>
  <c r="P151" i="1"/>
  <c r="T151" i="1" s="1"/>
  <c r="S150" i="1"/>
  <c r="R150" i="1"/>
  <c r="Q150" i="1"/>
  <c r="P150" i="1"/>
  <c r="T150" i="1" s="1"/>
  <c r="T149" i="1"/>
  <c r="S149" i="1"/>
  <c r="R149" i="1"/>
  <c r="Q149" i="1"/>
  <c r="P149" i="1"/>
  <c r="S148" i="1"/>
  <c r="R148" i="1"/>
  <c r="Q148" i="1"/>
  <c r="P148" i="1"/>
  <c r="T148" i="1" s="1"/>
  <c r="S147" i="1"/>
  <c r="R147" i="1"/>
  <c r="Q147" i="1"/>
  <c r="P147" i="1"/>
  <c r="T147" i="1" s="1"/>
  <c r="T146" i="1"/>
  <c r="S146" i="1"/>
  <c r="R146" i="1"/>
  <c r="Q146" i="1"/>
  <c r="P146" i="1"/>
  <c r="S145" i="1"/>
  <c r="R145" i="1"/>
  <c r="Q145" i="1"/>
  <c r="P145" i="1"/>
  <c r="T145" i="1" s="1"/>
  <c r="S144" i="1"/>
  <c r="R144" i="1"/>
  <c r="Q144" i="1"/>
  <c r="P144" i="1"/>
  <c r="T144" i="1" s="1"/>
  <c r="T143" i="1"/>
  <c r="S143" i="1"/>
  <c r="R143" i="1"/>
  <c r="Q143" i="1"/>
  <c r="P143" i="1"/>
  <c r="S142" i="1"/>
  <c r="R142" i="1"/>
  <c r="Q142" i="1"/>
  <c r="P142" i="1"/>
  <c r="T142" i="1" s="1"/>
  <c r="T141" i="1"/>
  <c r="S141" i="1"/>
  <c r="R141" i="1"/>
  <c r="Q141" i="1"/>
  <c r="P141" i="1"/>
  <c r="S140" i="1"/>
  <c r="R140" i="1"/>
  <c r="Q140" i="1"/>
  <c r="P140" i="1"/>
  <c r="T140" i="1" s="1"/>
  <c r="T139" i="1"/>
  <c r="S139" i="1"/>
  <c r="R139" i="1"/>
  <c r="Q139" i="1"/>
  <c r="P139" i="1"/>
  <c r="T138" i="1"/>
  <c r="S138" i="1"/>
  <c r="R138" i="1"/>
  <c r="Q138" i="1"/>
  <c r="P138" i="1"/>
  <c r="S137" i="1"/>
  <c r="R137" i="1"/>
  <c r="Q137" i="1"/>
  <c r="P137" i="1"/>
  <c r="T137" i="1" s="1"/>
  <c r="T136" i="1"/>
  <c r="S136" i="1"/>
  <c r="R136" i="1"/>
  <c r="Q136" i="1"/>
  <c r="P136" i="1"/>
  <c r="T135" i="1"/>
  <c r="S135" i="1"/>
  <c r="R135" i="1"/>
  <c r="Q135" i="1"/>
  <c r="P135" i="1"/>
  <c r="S134" i="1"/>
  <c r="R134" i="1"/>
  <c r="Q134" i="1"/>
  <c r="P134" i="1"/>
  <c r="T134" i="1" s="1"/>
  <c r="S133" i="1"/>
  <c r="R133" i="1"/>
  <c r="Q133" i="1"/>
  <c r="P133" i="1"/>
  <c r="T133" i="1" s="1"/>
  <c r="S132" i="1"/>
  <c r="R132" i="1"/>
  <c r="Q132" i="1"/>
  <c r="P132" i="1"/>
  <c r="T132" i="1" s="1"/>
  <c r="S131" i="1"/>
  <c r="R131" i="1"/>
  <c r="Q131" i="1"/>
  <c r="P131" i="1"/>
  <c r="T131" i="1" s="1"/>
  <c r="S130" i="1"/>
  <c r="R130" i="1"/>
  <c r="Q130" i="1"/>
  <c r="P130" i="1"/>
  <c r="T130" i="1" s="1"/>
  <c r="S129" i="1"/>
  <c r="R129" i="1"/>
  <c r="Q129" i="1"/>
  <c r="P129" i="1"/>
  <c r="T129" i="1" s="1"/>
  <c r="T128" i="1"/>
  <c r="S128" i="1"/>
  <c r="R128" i="1"/>
  <c r="Q128" i="1"/>
  <c r="P128" i="1"/>
  <c r="T127" i="1"/>
  <c r="S127" i="1"/>
  <c r="R127" i="1"/>
  <c r="Q127" i="1"/>
  <c r="P127" i="1"/>
  <c r="S126" i="1"/>
  <c r="R126" i="1"/>
  <c r="Q126" i="1"/>
  <c r="P126" i="1"/>
  <c r="T126" i="1" s="1"/>
  <c r="T125" i="1"/>
  <c r="S125" i="1"/>
  <c r="R125" i="1"/>
  <c r="Q125" i="1"/>
  <c r="P125" i="1"/>
  <c r="S124" i="1"/>
  <c r="R124" i="1"/>
  <c r="Q124" i="1"/>
  <c r="P124" i="1"/>
  <c r="T124" i="1" s="1"/>
  <c r="S123" i="1"/>
  <c r="R123" i="1"/>
  <c r="Q123" i="1"/>
  <c r="P123" i="1"/>
  <c r="T123" i="1" s="1"/>
  <c r="T122" i="1"/>
  <c r="S122" i="1"/>
  <c r="R122" i="1"/>
  <c r="Q122" i="1"/>
  <c r="P122" i="1"/>
  <c r="S121" i="1"/>
  <c r="R121" i="1"/>
  <c r="Q121" i="1"/>
  <c r="P121" i="1"/>
  <c r="T121" i="1" s="1"/>
  <c r="T120" i="1"/>
  <c r="S120" i="1"/>
  <c r="R120" i="1"/>
  <c r="Q120" i="1"/>
  <c r="P120" i="1"/>
  <c r="S119" i="1"/>
  <c r="R119" i="1"/>
  <c r="Q119" i="1"/>
  <c r="P119" i="1"/>
  <c r="T119" i="1" s="1"/>
  <c r="S118" i="1"/>
  <c r="R118" i="1"/>
  <c r="Q118" i="1"/>
  <c r="P118" i="1"/>
  <c r="T118" i="1" s="1"/>
  <c r="T117" i="1"/>
  <c r="S117" i="1"/>
  <c r="R117" i="1"/>
  <c r="Q117" i="1"/>
  <c r="P117" i="1"/>
  <c r="S116" i="1"/>
  <c r="R116" i="1"/>
  <c r="Q116" i="1"/>
  <c r="P116" i="1"/>
  <c r="T116" i="1" s="1"/>
  <c r="S115" i="1"/>
  <c r="R115" i="1"/>
  <c r="Q115" i="1"/>
  <c r="P115" i="1"/>
  <c r="T115" i="1" s="1"/>
  <c r="T114" i="1"/>
  <c r="S114" i="1"/>
  <c r="R114" i="1"/>
  <c r="Q114" i="1"/>
  <c r="P114" i="1"/>
  <c r="S113" i="1"/>
  <c r="R113" i="1"/>
  <c r="Q113" i="1"/>
  <c r="P113" i="1"/>
  <c r="T113" i="1" s="1"/>
  <c r="S112" i="1"/>
  <c r="R112" i="1"/>
  <c r="Q112" i="1"/>
  <c r="P112" i="1"/>
  <c r="T112" i="1" s="1"/>
  <c r="T111" i="1"/>
  <c r="S111" i="1"/>
  <c r="R111" i="1"/>
  <c r="Q111" i="1"/>
  <c r="P111" i="1"/>
  <c r="S110" i="1"/>
  <c r="R110" i="1"/>
  <c r="Q110" i="1"/>
  <c r="P110" i="1"/>
  <c r="T110" i="1" s="1"/>
  <c r="S109" i="1"/>
  <c r="R109" i="1"/>
  <c r="Q109" i="1"/>
  <c r="P109" i="1"/>
  <c r="T109" i="1" s="1"/>
  <c r="S108" i="1"/>
  <c r="R108" i="1"/>
  <c r="Q108" i="1"/>
  <c r="P108" i="1"/>
  <c r="T108" i="1" s="1"/>
  <c r="T107" i="1"/>
  <c r="S107" i="1"/>
  <c r="R107" i="1"/>
  <c r="Q107" i="1"/>
  <c r="P107" i="1"/>
  <c r="T106" i="1"/>
  <c r="S106" i="1"/>
  <c r="R106" i="1"/>
  <c r="Q106" i="1"/>
  <c r="P106" i="1"/>
  <c r="S105" i="1"/>
  <c r="R105" i="1"/>
  <c r="Q105" i="1"/>
  <c r="P105" i="1"/>
  <c r="T105" i="1" s="1"/>
  <c r="T104" i="1"/>
  <c r="S104" i="1"/>
  <c r="R104" i="1"/>
  <c r="Q104" i="1"/>
  <c r="P104" i="1"/>
  <c r="T103" i="1"/>
  <c r="S103" i="1"/>
  <c r="R103" i="1"/>
  <c r="Q103" i="1"/>
  <c r="P103" i="1"/>
  <c r="S102" i="1"/>
  <c r="R102" i="1"/>
  <c r="Q102" i="1"/>
  <c r="P102" i="1"/>
  <c r="T102" i="1" s="1"/>
  <c r="T101" i="1"/>
  <c r="S101" i="1"/>
  <c r="R101" i="1"/>
  <c r="Q101" i="1"/>
  <c r="P101" i="1"/>
  <c r="S100" i="1"/>
  <c r="R100" i="1"/>
  <c r="Q100" i="1"/>
  <c r="P100" i="1"/>
  <c r="T100" i="1" s="1"/>
  <c r="S99" i="1"/>
  <c r="R99" i="1"/>
  <c r="Q99" i="1"/>
  <c r="P99" i="1"/>
  <c r="T99" i="1" s="1"/>
  <c r="S98" i="1"/>
  <c r="R98" i="1"/>
  <c r="Q98" i="1"/>
  <c r="P98" i="1"/>
  <c r="T98" i="1" s="1"/>
  <c r="S97" i="1"/>
  <c r="R97" i="1"/>
  <c r="Q97" i="1"/>
  <c r="P97" i="1"/>
  <c r="T97" i="1" s="1"/>
  <c r="S96" i="1"/>
  <c r="R96" i="1"/>
  <c r="Q96" i="1"/>
  <c r="P96" i="1"/>
  <c r="T96" i="1" s="1"/>
  <c r="S95" i="1"/>
  <c r="R95" i="1"/>
  <c r="Q95" i="1"/>
  <c r="P95" i="1"/>
  <c r="T95" i="1" s="1"/>
  <c r="S94" i="1"/>
  <c r="R94" i="1"/>
  <c r="Q94" i="1"/>
  <c r="P94" i="1"/>
  <c r="T94" i="1" s="1"/>
  <c r="T93" i="1"/>
  <c r="S93" i="1"/>
  <c r="R93" i="1"/>
  <c r="Q93" i="1"/>
  <c r="P93" i="1"/>
  <c r="S92" i="1"/>
  <c r="R92" i="1"/>
  <c r="Q92" i="1"/>
  <c r="P92" i="1"/>
  <c r="T92" i="1" s="1"/>
  <c r="S91" i="1"/>
  <c r="R91" i="1"/>
  <c r="Q91" i="1"/>
  <c r="P91" i="1"/>
  <c r="T91" i="1" s="1"/>
  <c r="T90" i="1"/>
  <c r="S90" i="1"/>
  <c r="R90" i="1"/>
  <c r="Q90" i="1"/>
  <c r="P90" i="1"/>
  <c r="S89" i="1"/>
  <c r="R89" i="1"/>
  <c r="Q89" i="1"/>
  <c r="P89" i="1"/>
  <c r="T89" i="1" s="1"/>
  <c r="S88" i="1"/>
  <c r="R88" i="1"/>
  <c r="Q88" i="1"/>
  <c r="P88" i="1"/>
  <c r="T88" i="1" s="1"/>
  <c r="T87" i="1"/>
  <c r="S87" i="1"/>
  <c r="R87" i="1"/>
  <c r="Q87" i="1"/>
  <c r="P87" i="1"/>
  <c r="S86" i="1"/>
  <c r="R86" i="1"/>
  <c r="Q86" i="1"/>
  <c r="P86" i="1"/>
  <c r="T86" i="1" s="1"/>
  <c r="S85" i="1"/>
  <c r="R85" i="1"/>
  <c r="Q85" i="1"/>
  <c r="P85" i="1"/>
  <c r="T85" i="1" s="1"/>
  <c r="S84" i="1"/>
  <c r="R84" i="1"/>
  <c r="Q84" i="1"/>
  <c r="P84" i="1"/>
  <c r="T84" i="1" s="1"/>
  <c r="S83" i="1"/>
  <c r="R83" i="1"/>
  <c r="Q83" i="1"/>
  <c r="P83" i="1"/>
  <c r="T83" i="1" s="1"/>
  <c r="S82" i="1"/>
  <c r="R82" i="1"/>
  <c r="Q82" i="1"/>
  <c r="P82" i="1"/>
  <c r="T82" i="1" s="1"/>
  <c r="S81" i="1"/>
  <c r="R81" i="1"/>
  <c r="Q81" i="1"/>
  <c r="P81" i="1"/>
  <c r="T81" i="1" s="1"/>
  <c r="T80" i="1"/>
  <c r="S80" i="1"/>
  <c r="R80" i="1"/>
  <c r="Q80" i="1"/>
  <c r="P80" i="1"/>
  <c r="T79" i="1"/>
  <c r="S79" i="1"/>
  <c r="R79" i="1"/>
  <c r="Q79" i="1"/>
  <c r="P79" i="1"/>
  <c r="S78" i="1"/>
  <c r="R78" i="1"/>
  <c r="Q78" i="1"/>
  <c r="P78" i="1"/>
  <c r="T78" i="1" s="1"/>
  <c r="S77" i="1"/>
  <c r="R77" i="1"/>
  <c r="Q77" i="1"/>
  <c r="P77" i="1"/>
  <c r="T77" i="1" s="1"/>
  <c r="S76" i="1"/>
  <c r="R76" i="1"/>
  <c r="Q76" i="1"/>
  <c r="P76" i="1"/>
  <c r="T76" i="1" s="1"/>
  <c r="S75" i="1"/>
  <c r="R75" i="1"/>
  <c r="Q75" i="1"/>
  <c r="P75" i="1"/>
  <c r="T75" i="1" s="1"/>
  <c r="S74" i="1"/>
  <c r="R74" i="1"/>
  <c r="Q74" i="1"/>
  <c r="P74" i="1"/>
  <c r="T74" i="1" s="1"/>
  <c r="S73" i="1"/>
  <c r="R73" i="1"/>
  <c r="Q73" i="1"/>
  <c r="P73" i="1"/>
  <c r="T73" i="1" s="1"/>
  <c r="T72" i="1"/>
  <c r="S72" i="1"/>
  <c r="R72" i="1"/>
  <c r="Q72" i="1"/>
  <c r="P72" i="1"/>
  <c r="S71" i="1"/>
  <c r="R71" i="1"/>
  <c r="Q71" i="1"/>
  <c r="P71" i="1"/>
  <c r="T71" i="1" s="1"/>
  <c r="S70" i="1"/>
  <c r="R70" i="1"/>
  <c r="Q70" i="1"/>
  <c r="P70" i="1"/>
  <c r="T70" i="1" s="1"/>
  <c r="T69" i="1"/>
  <c r="S69" i="1"/>
  <c r="R69" i="1"/>
  <c r="Q69" i="1"/>
  <c r="P69" i="1"/>
  <c r="S68" i="1"/>
  <c r="R68" i="1"/>
  <c r="Q68" i="1"/>
  <c r="P68" i="1"/>
  <c r="T68" i="1" s="1"/>
  <c r="S67" i="1"/>
  <c r="R67" i="1"/>
  <c r="Q67" i="1"/>
  <c r="P67" i="1"/>
  <c r="T67" i="1" s="1"/>
  <c r="T66" i="1"/>
  <c r="S66" i="1"/>
  <c r="R66" i="1"/>
  <c r="Q66" i="1"/>
  <c r="P66" i="1"/>
  <c r="S65" i="1"/>
  <c r="R65" i="1"/>
  <c r="Q65" i="1"/>
  <c r="P65" i="1"/>
  <c r="T65" i="1" s="1"/>
  <c r="T64" i="1"/>
  <c r="S64" i="1"/>
  <c r="R64" i="1"/>
  <c r="Q64" i="1"/>
  <c r="P64" i="1"/>
  <c r="S63" i="1"/>
  <c r="R63" i="1"/>
  <c r="Q63" i="1"/>
  <c r="P63" i="1"/>
  <c r="T63" i="1" s="1"/>
  <c r="S62" i="1"/>
  <c r="R62" i="1"/>
  <c r="Q62" i="1"/>
  <c r="P62" i="1"/>
  <c r="T62" i="1" s="1"/>
  <c r="S61" i="1"/>
  <c r="R61" i="1"/>
  <c r="Q61" i="1"/>
  <c r="P61" i="1"/>
  <c r="T61" i="1" s="1"/>
  <c r="S60" i="1"/>
  <c r="R60" i="1"/>
  <c r="Q60" i="1"/>
  <c r="P60" i="1"/>
  <c r="T60" i="1" s="1"/>
  <c r="T59" i="1"/>
  <c r="S59" i="1"/>
  <c r="R59" i="1"/>
  <c r="Q59" i="1"/>
  <c r="P59" i="1"/>
  <c r="T58" i="1"/>
  <c r="S58" i="1"/>
  <c r="R58" i="1"/>
  <c r="Q58" i="1"/>
  <c r="P58" i="1"/>
  <c r="S57" i="1"/>
  <c r="R57" i="1"/>
  <c r="Q57" i="1"/>
  <c r="P57" i="1"/>
  <c r="T57" i="1" s="1"/>
  <c r="S56" i="1"/>
  <c r="R56" i="1"/>
  <c r="Q56" i="1"/>
  <c r="P56" i="1"/>
  <c r="T56" i="1" s="1"/>
  <c r="T55" i="1"/>
  <c r="S55" i="1"/>
  <c r="R55" i="1"/>
  <c r="Q55" i="1"/>
  <c r="P55" i="1"/>
  <c r="S54" i="1"/>
  <c r="R54" i="1"/>
  <c r="Q54" i="1"/>
  <c r="P54" i="1"/>
  <c r="T54" i="1" s="1"/>
  <c r="S53" i="1"/>
  <c r="R53" i="1"/>
  <c r="Q53" i="1"/>
  <c r="P53" i="1"/>
  <c r="T53" i="1" s="1"/>
  <c r="S52" i="1"/>
  <c r="R52" i="1"/>
  <c r="Q52" i="1"/>
  <c r="P52" i="1"/>
  <c r="T52" i="1" s="1"/>
  <c r="S51" i="1"/>
  <c r="R51" i="1"/>
  <c r="Q51" i="1"/>
  <c r="P51" i="1"/>
  <c r="T51" i="1" s="1"/>
  <c r="T50" i="1"/>
  <c r="S50" i="1"/>
  <c r="R50" i="1"/>
  <c r="Q50" i="1"/>
  <c r="P50" i="1"/>
  <c r="S49" i="1"/>
  <c r="R49" i="1"/>
  <c r="Q49" i="1"/>
  <c r="P49" i="1"/>
  <c r="T49" i="1" s="1"/>
  <c r="T48" i="1"/>
  <c r="S48" i="1"/>
  <c r="R48" i="1"/>
  <c r="Q48" i="1"/>
  <c r="P48" i="1"/>
  <c r="S47" i="1"/>
  <c r="R47" i="1"/>
  <c r="Q47" i="1"/>
  <c r="P47" i="1"/>
  <c r="T47" i="1" s="1"/>
  <c r="S46" i="1"/>
  <c r="R46" i="1"/>
  <c r="Q46" i="1"/>
  <c r="P46" i="1"/>
  <c r="T46" i="1" s="1"/>
  <c r="T45" i="1"/>
  <c r="S45" i="1"/>
  <c r="R45" i="1"/>
  <c r="Q45" i="1"/>
  <c r="P45" i="1"/>
  <c r="S44" i="1"/>
  <c r="R44" i="1"/>
  <c r="Q44" i="1"/>
  <c r="P44" i="1"/>
  <c r="T44" i="1" s="1"/>
  <c r="T43" i="1"/>
  <c r="S43" i="1"/>
  <c r="R43" i="1"/>
  <c r="Q43" i="1"/>
  <c r="P43" i="1"/>
  <c r="S42" i="1"/>
  <c r="R42" i="1"/>
  <c r="Q42" i="1"/>
  <c r="P42" i="1"/>
  <c r="T42" i="1" s="1"/>
  <c r="S41" i="1"/>
  <c r="R41" i="1"/>
  <c r="Q41" i="1"/>
  <c r="P41" i="1"/>
  <c r="T41" i="1" s="1"/>
  <c r="S40" i="1"/>
  <c r="R40" i="1"/>
  <c r="Q40" i="1"/>
  <c r="P40" i="1"/>
  <c r="T40" i="1" s="1"/>
  <c r="S39" i="1"/>
  <c r="R39" i="1"/>
  <c r="Q39" i="1"/>
  <c r="P39" i="1"/>
  <c r="T39" i="1" s="1"/>
  <c r="S38" i="1"/>
  <c r="R38" i="1"/>
  <c r="Q38" i="1"/>
  <c r="P38" i="1"/>
  <c r="T38" i="1" s="1"/>
  <c r="T37" i="1"/>
  <c r="S37" i="1"/>
  <c r="R37" i="1"/>
  <c r="Q37" i="1"/>
  <c r="P37" i="1"/>
  <c r="S36" i="1"/>
  <c r="R36" i="1"/>
  <c r="Q36" i="1"/>
  <c r="P36" i="1"/>
  <c r="T36" i="1" s="1"/>
  <c r="S35" i="1"/>
  <c r="R35" i="1"/>
  <c r="Q35" i="1"/>
  <c r="P35" i="1"/>
  <c r="T35" i="1" s="1"/>
  <c r="T34" i="1"/>
  <c r="S34" i="1"/>
  <c r="R34" i="1"/>
  <c r="Q34" i="1"/>
  <c r="P34" i="1"/>
  <c r="S33" i="1"/>
  <c r="R33" i="1"/>
  <c r="Q33" i="1"/>
  <c r="P33" i="1"/>
  <c r="T33" i="1" s="1"/>
  <c r="T32" i="1"/>
  <c r="S32" i="1"/>
  <c r="R32" i="1"/>
  <c r="Q32" i="1"/>
  <c r="P32" i="1"/>
  <c r="T31" i="1"/>
  <c r="S31" i="1"/>
  <c r="R31" i="1"/>
  <c r="Q31" i="1"/>
  <c r="P31" i="1"/>
  <c r="S30" i="1"/>
  <c r="R30" i="1"/>
  <c r="Q30" i="1"/>
  <c r="P30" i="1"/>
  <c r="T30" i="1" s="1"/>
  <c r="T29" i="1"/>
  <c r="S29" i="1"/>
  <c r="R29" i="1"/>
  <c r="Q29" i="1"/>
  <c r="P29" i="1"/>
  <c r="S28" i="1"/>
  <c r="R28" i="1"/>
  <c r="Q28" i="1"/>
  <c r="P28" i="1"/>
  <c r="T28" i="1" s="1"/>
  <c r="T27" i="1"/>
  <c r="S27" i="1"/>
  <c r="R27" i="1"/>
  <c r="Q27" i="1"/>
  <c r="P27" i="1"/>
  <c r="S26" i="1"/>
  <c r="R26" i="1"/>
  <c r="Q26" i="1"/>
  <c r="P26" i="1"/>
  <c r="T26" i="1" s="1"/>
  <c r="S25" i="1"/>
  <c r="R25" i="1"/>
  <c r="Q25" i="1"/>
  <c r="P25" i="1"/>
  <c r="T25" i="1" s="1"/>
  <c r="T24" i="1"/>
  <c r="S24" i="1"/>
  <c r="R24" i="1"/>
  <c r="Q24" i="1"/>
  <c r="P24" i="1"/>
  <c r="T23" i="1"/>
  <c r="S23" i="1"/>
  <c r="R23" i="1"/>
  <c r="Q23" i="1"/>
  <c r="P23" i="1"/>
  <c r="S22" i="1"/>
  <c r="R22" i="1"/>
  <c r="Q22" i="1"/>
  <c r="P22" i="1"/>
  <c r="T22" i="1" s="1"/>
  <c r="S21" i="1"/>
  <c r="R21" i="1"/>
  <c r="Q21" i="1"/>
  <c r="P21" i="1"/>
  <c r="T21" i="1" s="1"/>
  <c r="S20" i="1"/>
  <c r="R20" i="1"/>
  <c r="Q20" i="1"/>
  <c r="P20" i="1"/>
  <c r="T20" i="1" s="1"/>
  <c r="S19" i="1"/>
  <c r="R19" i="1"/>
  <c r="Q19" i="1"/>
  <c r="P19" i="1"/>
  <c r="T19" i="1" s="1"/>
  <c r="T18" i="1"/>
  <c r="S18" i="1"/>
  <c r="R18" i="1"/>
  <c r="Q18" i="1"/>
  <c r="P18" i="1"/>
  <c r="S17" i="1"/>
  <c r="R17" i="1"/>
  <c r="Q17" i="1"/>
  <c r="P17" i="1"/>
  <c r="T17" i="1" s="1"/>
  <c r="S16" i="1"/>
  <c r="R16" i="1"/>
  <c r="Q16" i="1"/>
  <c r="P16" i="1"/>
  <c r="T16" i="1" s="1"/>
  <c r="T15" i="1"/>
  <c r="S15" i="1"/>
  <c r="R15" i="1"/>
  <c r="Q15" i="1"/>
  <c r="P15" i="1"/>
  <c r="S14" i="1"/>
  <c r="R14" i="1"/>
  <c r="Q14" i="1"/>
  <c r="P14" i="1"/>
  <c r="T14" i="1" s="1"/>
  <c r="T13" i="1"/>
  <c r="S13" i="1"/>
  <c r="R13" i="1"/>
  <c r="Q13" i="1"/>
  <c r="P13" i="1"/>
  <c r="S12" i="1"/>
  <c r="R12" i="1"/>
  <c r="Q12" i="1"/>
  <c r="P12" i="1"/>
  <c r="T12" i="1" s="1"/>
  <c r="T11" i="1"/>
  <c r="S11" i="1"/>
  <c r="R11" i="1"/>
  <c r="Q11" i="1"/>
  <c r="P11" i="1"/>
  <c r="T10" i="1"/>
  <c r="S10" i="1"/>
  <c r="R10" i="1"/>
  <c r="Q10" i="1"/>
  <c r="P10" i="1"/>
  <c r="S9" i="1"/>
  <c r="R9" i="1"/>
  <c r="Q9" i="1"/>
  <c r="P9" i="1"/>
  <c r="T9" i="1" s="1"/>
  <c r="T8" i="1"/>
  <c r="S8" i="1"/>
  <c r="R8" i="1"/>
  <c r="Q8" i="1"/>
  <c r="P8" i="1"/>
  <c r="S7" i="1"/>
  <c r="R7" i="1"/>
  <c r="Q7" i="1"/>
  <c r="P7" i="1"/>
  <c r="T7" i="1" s="1"/>
  <c r="S6" i="1"/>
  <c r="R6" i="1"/>
  <c r="Q6" i="1"/>
  <c r="P6" i="1"/>
  <c r="T6" i="1" s="1"/>
  <c r="S5" i="1"/>
  <c r="R5" i="1"/>
  <c r="Q5" i="1"/>
  <c r="P5" i="1"/>
  <c r="T5" i="1" s="1"/>
  <c r="S4" i="1"/>
  <c r="R4" i="1"/>
  <c r="Q4" i="1"/>
  <c r="P4" i="1"/>
  <c r="T4" i="1" s="1"/>
  <c r="S3" i="1"/>
  <c r="R3" i="1"/>
  <c r="Q3" i="1"/>
  <c r="P3" i="1"/>
  <c r="T3" i="1" s="1"/>
  <c r="T2" i="1"/>
  <c r="S2" i="1"/>
  <c r="D13" i="7"/>
  <c r="C13" i="7"/>
  <c r="AC9" i="7"/>
  <c r="H13" i="7"/>
  <c r="E13" i="7"/>
  <c r="I13" i="7"/>
  <c r="AC11" i="7"/>
  <c r="G13" i="7"/>
  <c r="F13" i="7"/>
  <c r="AC10" i="7"/>
  <c r="AC12" i="7" l="1"/>
</calcChain>
</file>

<file path=xl/sharedStrings.xml><?xml version="1.0" encoding="utf-8"?>
<sst xmlns="http://schemas.openxmlformats.org/spreadsheetml/2006/main" count="8081" uniqueCount="126">
  <si>
    <t>Row ID</t>
  </si>
  <si>
    <t>Campaign Name</t>
  </si>
  <si>
    <t>Platform</t>
  </si>
  <si>
    <t>Objective</t>
  </si>
  <si>
    <t>Region</t>
  </si>
  <si>
    <t>Device</t>
  </si>
  <si>
    <t>Age Band</t>
  </si>
  <si>
    <t>Month</t>
  </si>
  <si>
    <t>Quarter</t>
  </si>
  <si>
    <t>Year</t>
  </si>
  <si>
    <t>Budget ($)</t>
  </si>
  <si>
    <t>Impressions</t>
  </si>
  <si>
    <t>Clicks</t>
  </si>
  <si>
    <t>Conversions</t>
  </si>
  <si>
    <t>Spend ($)</t>
  </si>
  <si>
    <t>CTR (%)</t>
  </si>
  <si>
    <t>CPC ($)</t>
  </si>
  <si>
    <t>CPA ($)</t>
  </si>
  <si>
    <t>ROAS</t>
  </si>
  <si>
    <t>Efficiency Score</t>
  </si>
  <si>
    <t>Di_Rich_Media_2023</t>
  </si>
  <si>
    <t>Display Ads</t>
  </si>
  <si>
    <t>Brand Awareness</t>
  </si>
  <si>
    <t>East</t>
  </si>
  <si>
    <t>Desktop</t>
  </si>
  <si>
    <t>25-34</t>
  </si>
  <si>
    <t>Mar</t>
  </si>
  <si>
    <t>Q1</t>
  </si>
  <si>
    <t>Di_Banner_Standard_2023</t>
  </si>
  <si>
    <t>Traffic</t>
  </si>
  <si>
    <t>South</t>
  </si>
  <si>
    <t>Tablet</t>
  </si>
  <si>
    <t>55+</t>
  </si>
  <si>
    <t>Jul</t>
  </si>
  <si>
    <t>Q3</t>
  </si>
  <si>
    <t>Go_Smart_Campaign_2023</t>
  </si>
  <si>
    <t>Google Ads</t>
  </si>
  <si>
    <t>Jun</t>
  </si>
  <si>
    <t>Q2</t>
  </si>
  <si>
    <t>Fa_Feed_Video_2024</t>
  </si>
  <si>
    <t>Facebook Ads</t>
  </si>
  <si>
    <t>Retargeting</t>
  </si>
  <si>
    <t>North</t>
  </si>
  <si>
    <t>35-44</t>
  </si>
  <si>
    <t>Nov</t>
  </si>
  <si>
    <t>Q4</t>
  </si>
  <si>
    <t>Lead Generation</t>
  </si>
  <si>
    <t>Mobile</t>
  </si>
  <si>
    <t>Aug</t>
  </si>
  <si>
    <t>Di_Native_2024</t>
  </si>
  <si>
    <t>45-54</t>
  </si>
  <si>
    <t>Fa_Feed_Image_2023</t>
  </si>
  <si>
    <t>May</t>
  </si>
  <si>
    <t>Di_Responsive_2024</t>
  </si>
  <si>
    <t>Dec</t>
  </si>
  <si>
    <t>Go_Shopping_2023</t>
  </si>
  <si>
    <t>West</t>
  </si>
  <si>
    <t>18-24</t>
  </si>
  <si>
    <t>Feb</t>
  </si>
  <si>
    <t>Di_Programmatic_2024</t>
  </si>
  <si>
    <t>Fa_Feed_Image_2024</t>
  </si>
  <si>
    <t>Central</t>
  </si>
  <si>
    <t>Di_Banner_Standard_2024</t>
  </si>
  <si>
    <t>Di_Interstitial_2024</t>
  </si>
  <si>
    <t>Di_Interstitial_2023</t>
  </si>
  <si>
    <t>Go_Shopping_2024</t>
  </si>
  <si>
    <t>Fa_Instant_Experience_2024</t>
  </si>
  <si>
    <t>Fa_Instant_Experience_2023</t>
  </si>
  <si>
    <t>Jan</t>
  </si>
  <si>
    <t>Di_Native_2023</t>
  </si>
  <si>
    <t>Go_Search_Generic_2024</t>
  </si>
  <si>
    <t>Go_YouTube_PreRoll_2023</t>
  </si>
  <si>
    <t>Go_Search_Competitor_2024</t>
  </si>
  <si>
    <t>Di_Programmatic_2023</t>
  </si>
  <si>
    <t>Di_Responsive_2023</t>
  </si>
  <si>
    <t>Go_Smart_Campaign_2024</t>
  </si>
  <si>
    <t>Di_Video_Display_2024</t>
  </si>
  <si>
    <t>Fa_Stories_2024</t>
  </si>
  <si>
    <t>Di_Retargeting_Display_2024</t>
  </si>
  <si>
    <t>Oct</t>
  </si>
  <si>
    <t>Fa_Messenger_2023</t>
  </si>
  <si>
    <t>Sep</t>
  </si>
  <si>
    <t>Fa_Messenger_2024</t>
  </si>
  <si>
    <t>Apr</t>
  </si>
  <si>
    <t>Fa_Reels_2023</t>
  </si>
  <si>
    <t>Fa_Feed_Video_2023</t>
  </si>
  <si>
    <t>Go_Discovery_2024</t>
  </si>
  <si>
    <t>Fa_Reels_2024</t>
  </si>
  <si>
    <t>Go_Search_Generic_2023</t>
  </si>
  <si>
    <t>Go_Discovery_2023</t>
  </si>
  <si>
    <t>Di_Video_Display_2023</t>
  </si>
  <si>
    <t>Go_Search_Brand_2024</t>
  </si>
  <si>
    <t>Fa_Carousel_2024</t>
  </si>
  <si>
    <t>Go_PMax_2023</t>
  </si>
  <si>
    <t>Go_YouTube_PreRoll_2024</t>
  </si>
  <si>
    <t>Di_Retargeting_Display_2023</t>
  </si>
  <si>
    <t>Fa_Lead_Form_2024</t>
  </si>
  <si>
    <t>Go_PMax_2024</t>
  </si>
  <si>
    <t>Go_Search_Brand_2023</t>
  </si>
  <si>
    <t>Go_Search_Competitor_2023</t>
  </si>
  <si>
    <t>Fa_Lead_Form_2023</t>
  </si>
  <si>
    <t>Fa_Stories_2023</t>
  </si>
  <si>
    <t>Fa_Carousel_2023</t>
  </si>
  <si>
    <t>Di_Rich_Media_2024</t>
  </si>
  <si>
    <t>Total Spend</t>
  </si>
  <si>
    <t>Row Labels</t>
  </si>
  <si>
    <t>Grand Total</t>
  </si>
  <si>
    <t>Total Budget</t>
  </si>
  <si>
    <t>Sum of Conversions</t>
  </si>
  <si>
    <t>Total Impression</t>
  </si>
  <si>
    <t>Total Clicks</t>
  </si>
  <si>
    <t>Total Conversions</t>
  </si>
  <si>
    <t>Average of CTR (%)</t>
  </si>
  <si>
    <t>Average of CPC ($)</t>
  </si>
  <si>
    <t>Average of CPA ($)</t>
  </si>
  <si>
    <t>Average of ROAS</t>
  </si>
  <si>
    <t>=</t>
  </si>
  <si>
    <t>Monthly Spend ($)</t>
  </si>
  <si>
    <t>Spend Share by Platform</t>
  </si>
  <si>
    <t>Monthly Spend Trend (All Platforms)</t>
  </si>
  <si>
    <t>CPC vs CPA by Platform</t>
  </si>
  <si>
    <t xml:space="preserve"> Conversions by Platform</t>
  </si>
  <si>
    <t>CTR Comparison by Platform</t>
  </si>
  <si>
    <t>Platform Summary — Key Metrics</t>
  </si>
  <si>
    <t>share %</t>
  </si>
  <si>
    <t>Sum of Spend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</si>
</sst>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5" formatCode="&quot;$&quot;#,##0_);\(&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 &quot;%&quot;"/>
  </numFmts>
  <fonts count="12" x14ac:knownFonts="1">
    <font>
      <sz val="11"/>
      <color theme="1"/>
      <name val="Calibri"/>
      <family val="2"/>
      <charset val="1"/>
    </font>
    <font>
      <sz val="10"/>
      <name val="Arial"/>
      <family val="2"/>
    </font>
    <font>
      <b/>
      <sz val="10"/>
      <color rgb="FFFFFFFF"/>
      <name val="Calibri"/>
      <family val="2"/>
    </font>
    <font>
      <sz val="10"/>
      <color rgb="FF1A1A2E"/>
      <name val="Calibri"/>
      <family val="2"/>
    </font>
    <font>
      <sz val="10"/>
      <color rgb="FF5B21B6"/>
      <name val="Calibri"/>
      <family val="2"/>
    </font>
    <font>
      <sz val="10"/>
      <color rgb="FF065F46"/>
      <name val="Calibri"/>
      <family val="2"/>
    </font>
    <font>
      <sz val="10"/>
      <color rgb="FF92400E"/>
      <name val="Calibri"/>
      <family val="2"/>
    </font>
    <font>
      <sz val="10"/>
      <color rgb="FF1E3A5F"/>
      <name val="Calibri"/>
      <family val="2"/>
    </font>
    <font>
      <b/>
      <sz val="11"/>
      <color rgb="FFFF0000"/>
      <name val="Calibri"/>
      <family val="2"/>
    </font>
    <font>
      <sz val="11"/>
      <color rgb="FFFF0000"/>
      <name val="Calibri"/>
      <family val="2"/>
    </font>
    <font>
      <sz val="11"/>
      <color theme="1"/>
      <name val="Calibri"/>
      <family val="2"/>
      <charset val="1"/>
    </font>
    <font>
      <b/>
      <sz val="14"/>
      <color rgb="FF000000"/>
      <name val="Calibri"/>
      <family val="2"/>
    </font>
  </fonts>
  <fills count="23">
    <fill>
      <patternFill patternType="none"/>
    </fill>
    <fill>
      <patternFill patternType="gray125"/>
    </fill>
    <fill>
      <patternFill patternType="solid">
        <fgColor rgb="FFFFFFFF"/>
        <bgColor rgb="FFF6FEF9"/>
      </patternFill>
    </fill>
    <fill>
      <patternFill patternType="solid">
        <fgColor rgb="FFFAF5FF"/>
        <bgColor rgb="FFF3F0FF"/>
      </patternFill>
    </fill>
    <fill>
      <patternFill patternType="solid">
        <fgColor rgb="FFEFF6FF"/>
        <bgColor rgb="FFF3F0FF"/>
      </patternFill>
    </fill>
    <fill>
      <patternFill patternType="solid">
        <fgColor rgb="FFF3F0FF"/>
        <bgColor rgb="FFEFF6FF"/>
      </patternFill>
    </fill>
    <fill>
      <patternFill patternType="solid">
        <fgColor theme="5"/>
        <bgColor rgb="FF0066CC"/>
      </patternFill>
    </fill>
    <fill>
      <patternFill patternType="solid">
        <fgColor theme="5"/>
        <bgColor rgb="FF008000"/>
      </patternFill>
    </fill>
    <fill>
      <patternFill patternType="solid">
        <fgColor theme="5"/>
        <bgColor rgb="FF808080"/>
      </patternFill>
    </fill>
    <fill>
      <patternFill patternType="solid">
        <fgColor theme="5"/>
        <bgColor rgb="FFFF8080"/>
      </patternFill>
    </fill>
    <fill>
      <patternFill patternType="solid">
        <fgColor theme="3" tint="0.79998168889431442"/>
        <bgColor rgb="FFF3F0FF"/>
      </patternFill>
    </fill>
    <fill>
      <patternFill patternType="solid">
        <fgColor theme="3" tint="0.79998168889431442"/>
        <bgColor rgb="FFEFF6FF"/>
      </patternFill>
    </fill>
    <fill>
      <patternFill patternType="solid">
        <fgColor theme="6" tint="0.39997558519241921"/>
        <bgColor rgb="FFF0FDF4"/>
      </patternFill>
    </fill>
    <fill>
      <patternFill patternType="solid">
        <fgColor theme="6" tint="0.39997558519241921"/>
        <bgColor rgb="FFF6FEF9"/>
      </patternFill>
    </fill>
    <fill>
      <patternFill patternType="solid">
        <fgColor theme="7" tint="0.79998168889431442"/>
        <bgColor rgb="FFF0FDF4"/>
      </patternFill>
    </fill>
    <fill>
      <patternFill patternType="solid">
        <fgColor theme="7" tint="0.79998168889431442"/>
        <bgColor rgb="FFF6FEF9"/>
      </patternFill>
    </fill>
    <fill>
      <patternFill patternType="solid">
        <fgColor theme="8" tint="0.79998168889431442"/>
        <bgColor rgb="FFF3F0FF"/>
      </patternFill>
    </fill>
    <fill>
      <patternFill patternType="solid">
        <fgColor theme="8" tint="0.79998168889431442"/>
        <bgColor rgb="FFEFF6FF"/>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3" fontId="1" fillId="0" borderId="0" applyBorder="0" applyAlignment="0" applyProtection="0"/>
    <xf numFmtId="44" fontId="1" fillId="0" borderId="0" applyBorder="0" applyAlignment="0" applyProtection="0"/>
    <xf numFmtId="9" fontId="10" fillId="0" borderId="0" applyFont="0" applyFill="0" applyBorder="0" applyAlignment="0" applyProtection="0"/>
  </cellStyleXfs>
  <cellXfs count="69">
    <xf numFmtId="0" fontId="0" fillId="0" borderId="0" xfId="0"/>
    <xf numFmtId="2" fontId="3" fillId="2" borderId="1" xfId="0" applyNumberFormat="1" applyFont="1" applyFill="1" applyBorder="1" applyAlignment="1">
      <alignment horizontal="center" vertical="center"/>
    </xf>
    <xf numFmtId="2" fontId="7" fillId="3"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1" fontId="3" fillId="2"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1" fontId="0" fillId="0" borderId="0" xfId="0" applyNumberFormat="1"/>
    <xf numFmtId="2" fontId="4" fillId="10" borderId="1" xfId="0" applyNumberFormat="1" applyFont="1" applyFill="1" applyBorder="1" applyAlignment="1">
      <alignment horizontal="center" vertical="center"/>
    </xf>
    <xf numFmtId="2" fontId="4" fillId="11" borderId="1" xfId="0" applyNumberFormat="1" applyFont="1" applyFill="1" applyBorder="1" applyAlignment="1">
      <alignment horizontal="center" vertical="center"/>
    </xf>
    <xf numFmtId="2" fontId="5" fillId="12" borderId="1" xfId="0" applyNumberFormat="1" applyFont="1" applyFill="1" applyBorder="1" applyAlignment="1">
      <alignment horizontal="center" vertical="center"/>
    </xf>
    <xf numFmtId="2" fontId="5" fillId="13" borderId="1" xfId="0" applyNumberFormat="1" applyFont="1" applyFill="1" applyBorder="1" applyAlignment="1">
      <alignment horizontal="center" vertical="center"/>
    </xf>
    <xf numFmtId="2" fontId="6" fillId="14" borderId="1" xfId="0" applyNumberFormat="1" applyFont="1" applyFill="1" applyBorder="1" applyAlignment="1">
      <alignment horizontal="center" vertical="center"/>
    </xf>
    <xf numFmtId="2" fontId="6" fillId="15" borderId="1" xfId="0" applyNumberFormat="1" applyFont="1" applyFill="1" applyBorder="1" applyAlignment="1">
      <alignment horizontal="center" vertical="center"/>
    </xf>
    <xf numFmtId="2" fontId="7" fillId="16" borderId="1" xfId="0" applyNumberFormat="1" applyFont="1" applyFill="1" applyBorder="1" applyAlignment="1">
      <alignment horizontal="center" vertical="center"/>
    </xf>
    <xf numFmtId="2" fontId="7" fillId="17" borderId="1" xfId="0" applyNumberFormat="1" applyFont="1" applyFill="1" applyBorder="1" applyAlignment="1">
      <alignment horizontal="center" vertical="center"/>
    </xf>
    <xf numFmtId="1" fontId="3" fillId="2" borderId="2" xfId="0" applyNumberFormat="1" applyFont="1" applyFill="1" applyBorder="1" applyAlignment="1">
      <alignment horizontal="center" vertical="center"/>
    </xf>
    <xf numFmtId="1" fontId="3" fillId="4" borderId="2" xfId="0" applyNumberFormat="1" applyFont="1" applyFill="1" applyBorder="1" applyAlignment="1">
      <alignment horizontal="center" vertical="center"/>
    </xf>
    <xf numFmtId="2" fontId="3" fillId="2" borderId="3" xfId="0" applyNumberFormat="1" applyFont="1" applyFill="1" applyBorder="1" applyAlignment="1">
      <alignment horizontal="center" vertical="center"/>
    </xf>
    <xf numFmtId="2" fontId="3" fillId="4" borderId="3" xfId="0" applyNumberFormat="1" applyFont="1" applyFill="1" applyBorder="1" applyAlignment="1">
      <alignment horizontal="center" vertical="center"/>
    </xf>
    <xf numFmtId="1" fontId="2" fillId="6" borderId="4" xfId="0" applyNumberFormat="1" applyFont="1" applyFill="1" applyBorder="1" applyAlignment="1">
      <alignment horizontal="center" vertical="center"/>
    </xf>
    <xf numFmtId="2" fontId="2" fillId="6" borderId="5" xfId="0" applyNumberFormat="1" applyFont="1" applyFill="1" applyBorder="1" applyAlignment="1">
      <alignment horizontal="center" vertical="center"/>
    </xf>
    <xf numFmtId="1" fontId="2" fillId="6" borderId="5" xfId="0" applyNumberFormat="1" applyFont="1" applyFill="1" applyBorder="1" applyAlignment="1">
      <alignment horizontal="center" vertical="center"/>
    </xf>
    <xf numFmtId="2" fontId="2" fillId="7" borderId="5" xfId="0" applyNumberFormat="1" applyFont="1" applyFill="1" applyBorder="1" applyAlignment="1">
      <alignment horizontal="center" vertical="center"/>
    </xf>
    <xf numFmtId="2" fontId="2" fillId="8" borderId="5" xfId="0" applyNumberFormat="1" applyFont="1" applyFill="1" applyBorder="1" applyAlignment="1">
      <alignment horizontal="center" vertical="center"/>
    </xf>
    <xf numFmtId="2" fontId="2" fillId="9" borderId="6" xfId="0" applyNumberFormat="1" applyFont="1" applyFill="1" applyBorder="1" applyAlignment="1">
      <alignment horizontal="center" vertical="center"/>
    </xf>
    <xf numFmtId="1" fontId="3" fillId="4" borderId="7" xfId="0" applyNumberFormat="1" applyFont="1" applyFill="1" applyBorder="1" applyAlignment="1">
      <alignment horizontal="center" vertical="center"/>
    </xf>
    <xf numFmtId="2" fontId="3" fillId="4" borderId="8" xfId="0" applyNumberFormat="1" applyFont="1" applyFill="1" applyBorder="1" applyAlignment="1">
      <alignment horizontal="center" vertical="center"/>
    </xf>
    <xf numFmtId="1" fontId="3" fillId="4" borderId="8" xfId="0" applyNumberFormat="1" applyFont="1" applyFill="1" applyBorder="1" applyAlignment="1">
      <alignment horizontal="center" vertical="center"/>
    </xf>
    <xf numFmtId="2" fontId="4" fillId="11" borderId="8" xfId="0" applyNumberFormat="1" applyFont="1" applyFill="1" applyBorder="1" applyAlignment="1">
      <alignment horizontal="center" vertical="center"/>
    </xf>
    <xf numFmtId="2" fontId="5" fillId="13" borderId="8" xfId="0" applyNumberFormat="1" applyFont="1" applyFill="1" applyBorder="1" applyAlignment="1">
      <alignment horizontal="center" vertical="center"/>
    </xf>
    <xf numFmtId="2" fontId="6" fillId="15" borderId="8" xfId="0" applyNumberFormat="1" applyFont="1" applyFill="1" applyBorder="1" applyAlignment="1">
      <alignment horizontal="center" vertical="center"/>
    </xf>
    <xf numFmtId="2" fontId="7" fillId="17" borderId="8" xfId="0" applyNumberFormat="1" applyFont="1" applyFill="1" applyBorder="1" applyAlignment="1">
      <alignment horizontal="center" vertical="center"/>
    </xf>
    <xf numFmtId="2" fontId="3" fillId="4" borderId="9" xfId="0" applyNumberFormat="1" applyFont="1" applyFill="1" applyBorder="1" applyAlignment="1">
      <alignment horizontal="center" vertical="center"/>
    </xf>
    <xf numFmtId="2" fontId="0" fillId="0" borderId="0" xfId="0" applyNumberFormat="1"/>
    <xf numFmtId="0" fontId="0" fillId="19" borderId="0" xfId="0" applyFill="1" applyAlignment="1">
      <alignment horizontal="center"/>
    </xf>
    <xf numFmtId="44" fontId="1" fillId="19" borderId="0" xfId="0" applyNumberFormat="1" applyFont="1" applyFill="1" applyAlignment="1">
      <alignment horizontal="center"/>
    </xf>
    <xf numFmtId="2" fontId="0" fillId="19" borderId="0" xfId="0" applyNumberFormat="1" applyFill="1" applyAlignment="1">
      <alignment horizontal="center"/>
    </xf>
    <xf numFmtId="0" fontId="0" fillId="20" borderId="0" xfId="0" applyFill="1" applyAlignment="1">
      <alignment horizontal="center"/>
    </xf>
    <xf numFmtId="44" fontId="1" fillId="20" borderId="0" xfId="0" applyNumberFormat="1" applyFont="1" applyFill="1" applyAlignment="1">
      <alignment horizontal="center"/>
    </xf>
    <xf numFmtId="2" fontId="0" fillId="20" borderId="0" xfId="0" applyNumberFormat="1" applyFill="1" applyAlignment="1">
      <alignment horizontal="center"/>
    </xf>
    <xf numFmtId="0" fontId="0" fillId="20" borderId="0" xfId="0" applyFill="1"/>
    <xf numFmtId="0" fontId="0" fillId="20" borderId="0" xfId="0" applyFill="1" applyAlignment="1">
      <alignment horizontal="left"/>
    </xf>
    <xf numFmtId="2" fontId="0" fillId="20" borderId="0" xfId="0" applyNumberFormat="1" applyFill="1"/>
    <xf numFmtId="0" fontId="0" fillId="21" borderId="0" xfId="0" applyFill="1" applyAlignment="1">
      <alignment horizontal="left"/>
    </xf>
    <xf numFmtId="2" fontId="0" fillId="21" borderId="0" xfId="0" applyNumberFormat="1" applyFill="1"/>
    <xf numFmtId="44" fontId="0" fillId="0" borderId="0" xfId="0" applyNumberFormat="1"/>
    <xf numFmtId="5" fontId="1" fillId="0" borderId="0" xfId="2" applyNumberFormat="1"/>
    <xf numFmtId="5" fontId="1" fillId="19" borderId="0" xfId="0" applyNumberFormat="1" applyFont="1" applyFill="1" applyAlignment="1">
      <alignment horizontal="center"/>
    </xf>
    <xf numFmtId="5" fontId="1" fillId="20" borderId="0" xfId="0" applyNumberFormat="1" applyFont="1" applyFill="1" applyAlignment="1">
      <alignment horizontal="center"/>
    </xf>
    <xf numFmtId="5" fontId="0" fillId="0" borderId="0" xfId="0" applyNumberFormat="1"/>
    <xf numFmtId="43" fontId="1" fillId="19" borderId="0" xfId="0" applyNumberFormat="1" applyFont="1" applyFill="1" applyAlignment="1">
      <alignment horizontal="center"/>
    </xf>
    <xf numFmtId="164" fontId="1" fillId="0" borderId="0" xfId="1" applyNumberFormat="1"/>
    <xf numFmtId="164" fontId="1" fillId="20" borderId="0" xfId="0" applyNumberFormat="1" applyFont="1" applyFill="1" applyAlignment="1">
      <alignment horizontal="center"/>
    </xf>
    <xf numFmtId="44" fontId="1" fillId="22" borderId="0" xfId="0" applyNumberFormat="1" applyFont="1" applyFill="1"/>
    <xf numFmtId="165" fontId="0" fillId="0" borderId="0" xfId="0" applyNumberFormat="1"/>
    <xf numFmtId="7" fontId="1" fillId="0" borderId="0" xfId="2" applyNumberFormat="1"/>
    <xf numFmtId="165" fontId="0" fillId="21" borderId="0" xfId="3" applyNumberFormat="1" applyFont="1" applyFill="1"/>
    <xf numFmtId="165" fontId="0" fillId="20" borderId="0" xfId="3" applyNumberFormat="1" applyFont="1" applyFill="1" applyAlignment="1">
      <alignment horizontal="center"/>
    </xf>
    <xf numFmtId="0" fontId="11" fillId="0" borderId="0" xfId="0" applyFont="1" applyAlignment="1">
      <alignment horizontal="center" vertical="center" readingOrder="1"/>
    </xf>
    <xf numFmtId="3" fontId="0" fillId="0" borderId="0" xfId="0" applyNumberFormat="1"/>
    <xf numFmtId="42" fontId="1" fillId="19" borderId="0" xfId="0" applyNumberFormat="1" applyFont="1" applyFill="1" applyAlignment="1">
      <alignment horizontal="center"/>
    </xf>
    <xf numFmtId="42" fontId="1" fillId="20" borderId="0" xfId="0" applyNumberFormat="1" applyFont="1" applyFill="1" applyAlignment="1">
      <alignment horizontal="center"/>
    </xf>
    <xf numFmtId="42" fontId="0" fillId="0" borderId="0" xfId="0" applyNumberFormat="1"/>
    <xf numFmtId="0" fontId="0" fillId="21" borderId="0" xfId="0" applyFill="1"/>
    <xf numFmtId="0" fontId="8" fillId="18" borderId="0" xfId="0" applyFont="1" applyFill="1" applyAlignment="1">
      <alignment horizontal="center"/>
    </xf>
    <xf numFmtId="0" fontId="9" fillId="18" borderId="0" xfId="0" applyFont="1" applyFill="1" applyAlignment="1">
      <alignment horizontal="center"/>
    </xf>
    <xf numFmtId="0" fontId="8" fillId="19" borderId="0" xfId="0" applyFont="1" applyFill="1" applyAlignment="1">
      <alignment horizontal="center"/>
    </xf>
    <xf numFmtId="0" fontId="9" fillId="19" borderId="0" xfId="0" applyFont="1" applyFill="1" applyAlignment="1">
      <alignment horizontal="center"/>
    </xf>
  </cellXfs>
  <cellStyles count="4">
    <cellStyle name="Comma" xfId="1" builtinId="3"/>
    <cellStyle name="Currency" xfId="2" builtinId="4"/>
    <cellStyle name="Normal" xfId="0" builtinId="0"/>
    <cellStyle name="Percent" xfId="3" builtinId="5"/>
  </cellStyles>
  <dxfs count="94">
    <dxf>
      <fill>
        <patternFill patternType="solid">
          <bgColor theme="0" tint="-0.249977111117893"/>
        </patternFill>
      </fill>
    </dxf>
    <dxf>
      <fill>
        <patternFill patternType="solid">
          <bgColor theme="0" tint="-0.249977111117893"/>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249977111117893"/>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249977111117893"/>
        </patternFill>
      </fill>
    </dxf>
    <dxf>
      <fill>
        <patternFill patternType="solid">
          <bgColor theme="0" tint="-0.34998626667073579"/>
        </patternFill>
      </fill>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indexed="65"/>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32" formatCode="_(&quot;$&quot;* #,##0_);_(&quot;$&quot;* \(#,##0\);_(&quot;$&quot;* &quot;-&quot;_);_(@_)"/>
    </dxf>
    <dxf>
      <numFmt numFmtId="164" formatCode="_(* #,##0_);_(* \(#,##0\);_(* &quot;-&quot;??_);_(@_)"/>
    </dxf>
    <dxf>
      <fill>
        <patternFill patternType="solid">
          <bgColor theme="2" tint="-0.249977111117893"/>
        </patternFill>
      </fill>
    </dxf>
    <dxf>
      <fill>
        <patternFill patternType="solid">
          <bgColor theme="0" tint="-0.499984740745262"/>
        </patternFill>
      </fill>
    </dxf>
    <dxf>
      <font>
        <b val="0"/>
        <i val="0"/>
        <strike val="0"/>
        <condense val="0"/>
        <extend val="0"/>
        <outline val="0"/>
        <shadow val="0"/>
        <u val="none"/>
        <vertAlign val="baseline"/>
        <sz val="10"/>
        <color auto="1"/>
        <name val="Arial"/>
        <family val="2"/>
        <scheme val="none"/>
      </font>
      <numFmt numFmtId="35" formatCode="_(* #,##0.00_);_(* \(#,##0.00\);_(* &quot;-&quot;??_);_(@_)"/>
      <fill>
        <patternFill patternType="none">
          <fgColor indexed="64"/>
          <bgColor indexed="65"/>
        </patternFill>
      </fill>
    </dxf>
    <dxf>
      <numFmt numFmtId="9" formatCode="&quot;$&quot;#,##0_);\(&quot;$&quot;#,##0\)"/>
    </dxf>
    <dxf>
      <numFmt numFmtId="9" formatCode="&quot;$&quot;#,##0_);\(&quot;$&quot;#,##0\)"/>
    </dxf>
    <dxf>
      <numFmt numFmtId="9" formatCode="&quot;$&quot;#,##0_);\(&quot;$&quot;#,##0\)"/>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alignment horizontal="center"/>
    </dxf>
    <dxf>
      <alignment horizontal="center"/>
    </dxf>
    <dxf>
      <alignment horizontal="center"/>
    </dxf>
    <dxf>
      <alignment horizontal="center"/>
    </dxf>
    <dxf>
      <alignment horizontal="center"/>
    </dxf>
    <dxf>
      <alignment horizontal="center"/>
    </dxf>
    <dxf>
      <alignment horizontal="center" indent="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indexed="65"/>
        </patternFill>
      </fill>
    </dxf>
    <dxf>
      <fill>
        <patternFill patternType="solid">
          <bgColor theme="0" tint="-0.249977111117893"/>
        </patternFill>
      </fill>
    </dxf>
    <dxf>
      <fill>
        <patternFill patternType="solid">
          <bgColor theme="0" tint="-0.249977111117893"/>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ill>
        <patternFill patternType="solid">
          <bgColor theme="0" tint="-0.499984740745262"/>
        </patternFill>
      </fill>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1E3A5F"/>
        <name val="Calibri"/>
        <family val="2"/>
        <scheme val="none"/>
      </font>
      <numFmt numFmtId="2" formatCode="0.00"/>
      <fill>
        <patternFill patternType="solid">
          <fgColor rgb="FFEFF6FF"/>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92400E"/>
        <name val="Calibri"/>
        <family val="2"/>
        <scheme val="none"/>
      </font>
      <numFmt numFmtId="2" formatCode="0.00"/>
      <fill>
        <patternFill patternType="solid">
          <fgColor rgb="FFF6FEF9"/>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65F46"/>
        <name val="Calibri"/>
        <family val="2"/>
        <scheme val="none"/>
      </font>
      <numFmt numFmtId="2" formatCode="0.00"/>
      <fill>
        <patternFill patternType="solid">
          <fgColor rgb="FFF6FEF9"/>
          <bgColor theme="6" tint="0.399975585192419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5B21B6"/>
        <name val="Calibri"/>
        <family val="2"/>
        <scheme val="none"/>
      </font>
      <numFmt numFmtId="2" formatCode="0.00"/>
      <fill>
        <patternFill patternType="solid">
          <fgColor rgb="FFEFF6FF"/>
          <bgColor theme="3"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1" formatCode="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2" formatCode="0.00"/>
      <fill>
        <patternFill patternType="solid">
          <fgColor rgb="FFF3F0FF"/>
          <bgColor rgb="FFEFF6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1A1A2E"/>
        <name val="Calibri"/>
        <family val="2"/>
        <scheme val="none"/>
      </font>
      <numFmt numFmtId="1" formatCode="0"/>
      <fill>
        <patternFill patternType="solid">
          <fgColor rgb="FFF3F0FF"/>
          <bgColor rgb="FFEFF6FF"/>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rgb="FFFFFFFF"/>
        <name val="Calibri"/>
        <family val="2"/>
        <scheme val="none"/>
      </font>
      <numFmt numFmtId="2" formatCode="0.00"/>
      <fill>
        <patternFill patternType="solid">
          <fgColor rgb="FF808080"/>
          <bgColor theme="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FFFFFF"/>
      </font>
      <fill>
        <patternFill>
          <bgColor rgb="FF0D1117"/>
        </patternFill>
      </fill>
    </dxf>
    <dxf>
      <fill>
        <patternFill>
          <bgColor rgb="FF161B22"/>
        </patternFill>
      </fill>
      <border>
        <left style="thin">
          <color auto="1"/>
        </left>
        <right style="thin">
          <color auto="1"/>
        </right>
        <top style="thin">
          <color auto="1"/>
        </top>
        <bottom style="thin">
          <color auto="1"/>
        </bottom>
      </border>
    </dxf>
    <dxf>
      <fill>
        <patternFill>
          <bgColor rgb="FF21262D"/>
        </patternFill>
      </fill>
    </dxf>
  </dxfs>
  <tableStyles count="3" defaultTableStyle="TableStyleMedium2" defaultPivotStyle="PivotStyleLight16">
    <tableStyle name="Slicer Style 1" pivot="0" table="0" count="1" xr9:uid="{B85733A7-1CDE-4031-957C-03989990E3A1}">
      <tableStyleElement type="wholeTable" dxfId="93"/>
    </tableStyle>
    <tableStyle name="Slicer Style 2" pivot="0" table="0" count="1" xr9:uid="{B760F7A6-AF7C-47A3-A802-80320183B896}"/>
    <tableStyle name="Slicer Style 3" pivot="0" table="0" count="4" xr9:uid="{5A48AA2F-CA10-40E7-A38D-85FA6FEFFB73}">
      <tableStyleElement type="wholeTable" dxfId="92"/>
      <tableStyleElement type="headerRow" dxfId="91"/>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CCCCCC"/>
      <rgbColor rgb="FF808080"/>
      <rgbColor rgb="FF9999FF"/>
      <rgbColor rgb="FF993366"/>
      <rgbColor rgb="FFF0FDF4"/>
      <rgbColor rgb="FFEFF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6FEF9"/>
      <rgbColor rgb="FFF3F0FF"/>
      <rgbColor rgb="FFFAF5FF"/>
      <rgbColor rgb="FF99CCFF"/>
      <rgbColor rgb="FFFF99CC"/>
      <rgbColor rgb="FFCC99FF"/>
      <rgbColor rgb="FFFFCC99"/>
      <rgbColor rgb="FF1F6FEB"/>
      <rgbColor rgb="FF33CCCC"/>
      <rgbColor rgb="FF99CC00"/>
      <rgbColor rgb="FFFFCC00"/>
      <rgbColor rgb="FFFF9900"/>
      <rgbColor rgb="FFDB6D28"/>
      <rgbColor rgb="FF8957E5"/>
      <rgbColor rgb="FF969696"/>
      <rgbColor rgb="FF1E3A5F"/>
      <rgbColor rgb="FF238636"/>
      <rgbColor rgb="FF003300"/>
      <rgbColor rgb="FF333300"/>
      <rgbColor rgb="FF92400E"/>
      <rgbColor rgb="FF993366"/>
      <rgbColor rgb="FF5B21B6"/>
      <rgbColor rgb="FF1A1A2E"/>
      <rgbColor rgb="00003366"/>
      <rgbColor rgb="00339966"/>
      <rgbColor rgb="00003300"/>
      <rgbColor rgb="00333300"/>
      <rgbColor rgb="00993300"/>
      <rgbColor rgb="00993366"/>
      <rgbColor rgb="00333399"/>
      <rgbColor rgb="00333333"/>
    </indexedColors>
    <mruColors>
      <color rgb="FFFFA657"/>
      <color rgb="FFBC8CFF"/>
      <color rgb="FF30363D"/>
      <color rgb="FF161B22"/>
      <color rgb="FFFFFFFF"/>
      <color rgb="FF8B949E"/>
      <color rgb="FF58A6FF"/>
      <color rgb="FF0D1117"/>
      <color rgb="FF3FB950"/>
      <color rgb="FF21262D"/>
    </mruColors>
  </colors>
  <extLst>
    <ext xmlns:x14="http://schemas.microsoft.com/office/spreadsheetml/2009/9/main" uri="{46F421CA-312F-682f-3DD2-61675219B42D}">
      <x14:dxfs count="3">
        <dxf>
          <font>
            <color rgb="FFFFFFFF"/>
          </font>
          <fill>
            <patternFill>
              <bgColor rgb="FF58A6FF"/>
            </patternFill>
          </fill>
        </dxf>
        <dxf>
          <fill>
            <patternFill>
              <bgColor rgb="FF8B949E"/>
            </patternFill>
          </fill>
        </dxf>
        <dxf>
          <fill>
            <patternFill>
              <bgColor rgb="FF58A6F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400" b="1" i="0" u="none" strike="noStrike" baseline="0">
                <a:solidFill>
                  <a:schemeClr val="bg1">
                    <a:lumMod val="95000"/>
                  </a:schemeClr>
                </a:solidFill>
              </a:rPr>
              <a:t>Peak spend in October ($812K) — highest in Q4</a:t>
            </a:r>
            <a:endParaRPr lang="en-US" b="1">
              <a:solidFill>
                <a:schemeClr val="bg1">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rgbClr val="002060"/>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8A6FF"/>
            </a:solidFill>
            <a:round/>
          </a:ln>
          <a:effectLst/>
        </c:spPr>
        <c:marker>
          <c:symbol val="circle"/>
          <c:size val="5"/>
          <c:spPr>
            <a:solidFill>
              <a:srgbClr val="58A6FF"/>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7.2272081581200201E-2"/>
              <c:y val="-0.113249412902334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7.0280843030821938E-2"/>
              <c:y val="9.873975457015235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15B35C9-2611-4898-999E-80060BA72220}" type="VALUE">
                  <a:rPr lang="en-US"/>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671047391477499"/>
                  <c:h val="0.14608946907952294"/>
                </c:manualLayout>
              </c15:layout>
              <c15:dlblFieldTable/>
              <c15:showDataLabelsRange val="0"/>
            </c:ext>
          </c:extLst>
        </c:dLbl>
      </c:pivotFmt>
      <c:pivotFmt>
        <c:idx val="8"/>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5.2359696077416848E-2"/>
              <c:y val="-0.135179237463738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7.0280843030821896E-2"/>
              <c:y val="0.12066871575263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8.4219512883470279E-2"/>
              <c:y val="9.87388911912326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6.2315888829308524E-2"/>
              <c:y val="0.11335877423216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1.4602247349700351E-16"/>
              <c:y val="0.120668715752636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6.4307127379686857E-2"/>
              <c:y val="0.10604883271170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58A6FF"/>
            </a:solidFill>
            <a:round/>
          </a:ln>
          <a:effectLst/>
        </c:spPr>
        <c:marker>
          <c:symbol val="circle"/>
          <c:size val="5"/>
          <c:spPr>
            <a:solidFill>
              <a:srgbClr val="58A6FF"/>
            </a:solidFill>
            <a:ln w="9525">
              <a:solidFill>
                <a:srgbClr val="002060"/>
              </a:solidFill>
            </a:ln>
            <a:effectLst/>
          </c:spPr>
        </c:marker>
        <c:dLbl>
          <c:idx val="0"/>
          <c:layout>
            <c:manualLayout>
              <c:x val="-4.0412264775146832E-2"/>
              <c:y val="-0.105939471381866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3635499863592"/>
          <c:y val="0.27112573099415205"/>
          <c:w val="0.8854636450013641"/>
          <c:h val="0.48617269880738589"/>
        </c:manualLayout>
      </c:layout>
      <c:lineChart>
        <c:grouping val="standard"/>
        <c:varyColors val="0"/>
        <c:ser>
          <c:idx val="0"/>
          <c:order val="0"/>
          <c:tx>
            <c:strRef>
              <c:f>'PIVOT TABLES'!$N$3</c:f>
              <c:strCache>
                <c:ptCount val="1"/>
                <c:pt idx="0">
                  <c:v>Total</c:v>
                </c:pt>
              </c:strCache>
            </c:strRef>
          </c:tx>
          <c:spPr>
            <a:ln w="28575" cap="rnd">
              <a:solidFill>
                <a:srgbClr val="58A6FF"/>
              </a:solidFill>
              <a:round/>
            </a:ln>
            <a:effectLst/>
          </c:spPr>
          <c:marker>
            <c:symbol val="circle"/>
            <c:size val="5"/>
            <c:spPr>
              <a:solidFill>
                <a:srgbClr val="58A6FF"/>
              </a:solidFill>
              <a:ln w="9525">
                <a:solidFill>
                  <a:srgbClr val="002060"/>
                </a:solidFill>
              </a:ln>
              <a:effectLst/>
            </c:spPr>
          </c:marker>
          <c:dPt>
            <c:idx val="0"/>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7-5E99-43DC-9970-F12564C0D850}"/>
              </c:ext>
            </c:extLst>
          </c:dPt>
          <c:dPt>
            <c:idx val="2"/>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3-5E99-43DC-9970-F12564C0D850}"/>
              </c:ext>
            </c:extLst>
          </c:dPt>
          <c:dPt>
            <c:idx val="3"/>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2-5E99-43DC-9970-F12564C0D850}"/>
              </c:ext>
            </c:extLst>
          </c:dPt>
          <c:dPt>
            <c:idx val="4"/>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1-5E99-43DC-9970-F12564C0D850}"/>
              </c:ext>
            </c:extLst>
          </c:dPt>
          <c:dPt>
            <c:idx val="5"/>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0-5E99-43DC-9970-F12564C0D850}"/>
              </c:ext>
            </c:extLst>
          </c:dPt>
          <c:dPt>
            <c:idx val="6"/>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10-5973-42E1-9992-DF7A34930352}"/>
              </c:ext>
            </c:extLst>
          </c:dPt>
          <c:dPt>
            <c:idx val="7"/>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4-5E99-43DC-9970-F12564C0D850}"/>
              </c:ext>
            </c:extLst>
          </c:dPt>
          <c:dPt>
            <c:idx val="9"/>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5-5E99-43DC-9970-F12564C0D850}"/>
              </c:ext>
            </c:extLst>
          </c:dPt>
          <c:dPt>
            <c:idx val="11"/>
            <c:marker>
              <c:symbol val="circle"/>
              <c:size val="5"/>
              <c:spPr>
                <a:solidFill>
                  <a:srgbClr val="58A6FF"/>
                </a:solidFill>
                <a:ln w="9525">
                  <a:solidFill>
                    <a:srgbClr val="002060"/>
                  </a:solidFill>
                </a:ln>
                <a:effectLst/>
              </c:spPr>
            </c:marker>
            <c:bubble3D val="0"/>
            <c:spPr>
              <a:ln w="28575" cap="rnd">
                <a:solidFill>
                  <a:srgbClr val="58A6FF"/>
                </a:solidFill>
                <a:round/>
              </a:ln>
              <a:effectLst/>
            </c:spPr>
            <c:extLst>
              <c:ext xmlns:c16="http://schemas.microsoft.com/office/drawing/2014/chart" uri="{C3380CC4-5D6E-409C-BE32-E72D297353CC}">
                <c16:uniqueId val="{00000006-5E99-43DC-9970-F12564C0D850}"/>
              </c:ext>
            </c:extLst>
          </c:dPt>
          <c:dLbls>
            <c:dLbl>
              <c:idx val="0"/>
              <c:layout>
                <c:manualLayout>
                  <c:x val="-6.4307127379686857E-2"/>
                  <c:y val="0.106048832711700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99-43DC-9970-F12564C0D850}"/>
                </c:ext>
              </c:extLst>
            </c:dLbl>
            <c:dLbl>
              <c:idx val="2"/>
              <c:layout>
                <c:manualLayout>
                  <c:x val="-7.0280843030821896E-2"/>
                  <c:y val="0.120668715752636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99-43DC-9970-F12564C0D850}"/>
                </c:ext>
              </c:extLst>
            </c:dLbl>
            <c:dLbl>
              <c:idx val="3"/>
              <c:layout>
                <c:manualLayout>
                  <c:x val="-5.2359696077416848E-2"/>
                  <c:y val="-0.135179237463738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99-43DC-9970-F12564C0D850}"/>
                </c:ext>
              </c:extLst>
            </c:dLbl>
            <c:dLbl>
              <c:idx val="4"/>
              <c:layout>
                <c:manualLayout>
                  <c:x val="-7.0280843030821938E-2"/>
                  <c:y val="9.873975457015235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15B35C9-2611-4898-999E-80060BA72220}" type="VALUE">
                      <a:rPr lang="en-US"/>
                      <a:pPr>
                        <a:defRPr>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671047391477499"/>
                      <c:h val="0.14608946907952294"/>
                    </c:manualLayout>
                  </c15:layout>
                  <c15:dlblFieldTable/>
                  <c15:showDataLabelsRange val="0"/>
                </c:ext>
                <c:ext xmlns:c16="http://schemas.microsoft.com/office/drawing/2014/chart" uri="{C3380CC4-5D6E-409C-BE32-E72D297353CC}">
                  <c16:uniqueId val="{00000001-5E99-43DC-9970-F12564C0D850}"/>
                </c:ext>
              </c:extLst>
            </c:dLbl>
            <c:dLbl>
              <c:idx val="5"/>
              <c:layout>
                <c:manualLayout>
                  <c:x val="-7.2272081581200201E-2"/>
                  <c:y val="-0.1132494129023345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99-43DC-9970-F12564C0D850}"/>
                </c:ext>
              </c:extLst>
            </c:dLbl>
            <c:dLbl>
              <c:idx val="6"/>
              <c:layout>
                <c:manualLayout>
                  <c:x val="-4.0412264775146832E-2"/>
                  <c:y val="-0.105939471381866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973-42E1-9992-DF7A34930352}"/>
                </c:ext>
              </c:extLst>
            </c:dLbl>
            <c:dLbl>
              <c:idx val="7"/>
              <c:layout>
                <c:manualLayout>
                  <c:x val="-8.4219512883470279E-2"/>
                  <c:y val="9.87388911912326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99-43DC-9970-F12564C0D850}"/>
                </c:ext>
              </c:extLst>
            </c:dLbl>
            <c:dLbl>
              <c:idx val="9"/>
              <c:layout>
                <c:manualLayout>
                  <c:x val="-6.2315888829308524E-2"/>
                  <c:y val="0.11335877423216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5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99-43DC-9970-F12564C0D850}"/>
                </c:ext>
              </c:extLst>
            </c:dLbl>
            <c:dLbl>
              <c:idx val="11"/>
              <c:layout>
                <c:manualLayout>
                  <c:x val="-1.4602247349700351E-16"/>
                  <c:y val="0.120668715752636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E99-43DC-9970-F12564C0D85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TABLES'!$M$4:$M$15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TABLES'!$N$4:$N$15</c:f>
              <c:numCache>
                <c:formatCode>_("$"* #,##0.00_);_("$"* \(#,##0.00\);_("$"* "-"??_);_(@_)</c:formatCode>
                <c:ptCount val="12"/>
                <c:pt idx="0">
                  <c:v>672469.3200000003</c:v>
                </c:pt>
                <c:pt idx="1">
                  <c:v>758180.18000000028</c:v>
                </c:pt>
                <c:pt idx="2">
                  <c:v>719963.89000000025</c:v>
                </c:pt>
                <c:pt idx="3">
                  <c:v>720638.03999999957</c:v>
                </c:pt>
                <c:pt idx="4">
                  <c:v>566817.22</c:v>
                </c:pt>
                <c:pt idx="5">
                  <c:v>589116.06000000006</c:v>
                </c:pt>
                <c:pt idx="6">
                  <c:v>768156.14000000025</c:v>
                </c:pt>
                <c:pt idx="7">
                  <c:v>570409.25999999989</c:v>
                </c:pt>
                <c:pt idx="8">
                  <c:v>661908.30000000005</c:v>
                </c:pt>
                <c:pt idx="9">
                  <c:v>812971.1100000001</c:v>
                </c:pt>
                <c:pt idx="10">
                  <c:v>715098.86</c:v>
                </c:pt>
                <c:pt idx="11">
                  <c:v>782089.07000000007</c:v>
                </c:pt>
              </c:numCache>
            </c:numRef>
          </c:val>
          <c:smooth val="0"/>
          <c:extLst>
            <c:ext xmlns:c16="http://schemas.microsoft.com/office/drawing/2014/chart" uri="{C3380CC4-5D6E-409C-BE32-E72D297353CC}">
              <c16:uniqueId val="{00000000-7914-495E-919C-49A35295C2D7}"/>
            </c:ext>
          </c:extLst>
        </c:ser>
        <c:dLbls>
          <c:dLblPos val="t"/>
          <c:showLegendKey val="0"/>
          <c:showVal val="1"/>
          <c:showCatName val="0"/>
          <c:showSerName val="0"/>
          <c:showPercent val="0"/>
          <c:showBubbleSize val="0"/>
        </c:dLbls>
        <c:marker val="1"/>
        <c:smooth val="0"/>
        <c:axId val="260158367"/>
        <c:axId val="260162207"/>
      </c:lineChart>
      <c:catAx>
        <c:axId val="2601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62207"/>
        <c:crosses val="autoZero"/>
        <c:auto val="1"/>
        <c:lblAlgn val="ctr"/>
        <c:lblOffset val="100"/>
        <c:noMultiLvlLbl val="0"/>
      </c:catAx>
      <c:valAx>
        <c:axId val="260162207"/>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2601583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8B949E"/>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61B22"/>
    </a:solidFill>
    <a:ln w="31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[Digital_Marketing_Campaign_Data.xlsx]PIVOT TABLES!PivotTable5</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1" i="0" u="none" strike="noStrike" kern="1200" spc="0" baseline="0">
                <a:solidFill>
                  <a:schemeClr val="bg1"/>
                </a:solidFill>
              </a:rPr>
              <a:t>Display Ads has highest CPA ($549) — least cost efficient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A657"/>
          </a:solidFill>
          <a:ln>
            <a:noFill/>
          </a:ln>
          <a:effectLst/>
        </c:spPr>
      </c:pivotFmt>
      <c:pivotFmt>
        <c:idx val="11"/>
        <c:spPr>
          <a:solidFill>
            <a:srgbClr val="BC8CFF"/>
          </a:solidFill>
          <a:ln>
            <a:noFill/>
          </a:ln>
          <a:effectLst/>
        </c:spPr>
      </c:pivotFmt>
      <c:pivotFmt>
        <c:idx val="12"/>
        <c:spPr>
          <a:solidFill>
            <a:srgbClr val="3FB950"/>
          </a:solidFill>
          <a:ln>
            <a:noFill/>
          </a:ln>
          <a:effectLst/>
        </c:spPr>
      </c:pivotFmt>
    </c:pivotFmts>
    <c:plotArea>
      <c:layout/>
      <c:barChart>
        <c:barDir val="col"/>
        <c:grouping val="clustered"/>
        <c:varyColors val="0"/>
        <c:ser>
          <c:idx val="0"/>
          <c:order val="0"/>
          <c:tx>
            <c:strRef>
              <c:f>'PIVOT TABLES'!$Q$3</c:f>
              <c:strCache>
                <c:ptCount val="1"/>
                <c:pt idx="0">
                  <c:v>Average of CPC ($)</c:v>
                </c:pt>
              </c:strCache>
            </c:strRef>
          </c:tx>
          <c:spPr>
            <a:solidFill>
              <a:schemeClr val="accent1"/>
            </a:solidFill>
            <a:ln>
              <a:noFill/>
            </a:ln>
            <a:effectLst/>
          </c:spPr>
          <c:invertIfNegative val="0"/>
          <c:cat>
            <c:strRef>
              <c:f>'PIVOT TABLES'!$P$4:$P$7</c:f>
              <c:strCache>
                <c:ptCount val="3"/>
                <c:pt idx="0">
                  <c:v>Google Ads</c:v>
                </c:pt>
                <c:pt idx="1">
                  <c:v>Facebook Ads</c:v>
                </c:pt>
                <c:pt idx="2">
                  <c:v>Display Ads</c:v>
                </c:pt>
              </c:strCache>
            </c:strRef>
          </c:cat>
          <c:val>
            <c:numRef>
              <c:f>'PIVOT TABLES'!$Q$4:$Q$7</c:f>
              <c:numCache>
                <c:formatCode>0.00</c:formatCode>
                <c:ptCount val="3"/>
                <c:pt idx="0">
                  <c:v>1.7705021689197797</c:v>
                </c:pt>
                <c:pt idx="1">
                  <c:v>2.7681343651537245</c:v>
                </c:pt>
                <c:pt idx="2">
                  <c:v>18.09618667922603</c:v>
                </c:pt>
              </c:numCache>
            </c:numRef>
          </c:val>
          <c:extLst>
            <c:ext xmlns:c16="http://schemas.microsoft.com/office/drawing/2014/chart" uri="{C3380CC4-5D6E-409C-BE32-E72D297353CC}">
              <c16:uniqueId val="{00000000-C356-4F58-B57B-C2560DAFDE3D}"/>
            </c:ext>
          </c:extLst>
        </c:ser>
        <c:ser>
          <c:idx val="1"/>
          <c:order val="1"/>
          <c:tx>
            <c:strRef>
              <c:f>'PIVOT TABLES'!$R$3</c:f>
              <c:strCache>
                <c:ptCount val="1"/>
                <c:pt idx="0">
                  <c:v>Average of CPA ($)</c:v>
                </c:pt>
              </c:strCache>
            </c:strRef>
          </c:tx>
          <c:spPr>
            <a:solidFill>
              <a:schemeClr val="accent2"/>
            </a:solidFill>
            <a:ln>
              <a:noFill/>
            </a:ln>
            <a:effectLst/>
          </c:spPr>
          <c:invertIfNegative val="0"/>
          <c:dPt>
            <c:idx val="0"/>
            <c:invertIfNegative val="0"/>
            <c:bubble3D val="0"/>
            <c:spPr>
              <a:solidFill>
                <a:srgbClr val="3FB950"/>
              </a:solidFill>
              <a:ln>
                <a:noFill/>
              </a:ln>
              <a:effectLst/>
            </c:spPr>
            <c:extLst>
              <c:ext xmlns:c16="http://schemas.microsoft.com/office/drawing/2014/chart" uri="{C3380CC4-5D6E-409C-BE32-E72D297353CC}">
                <c16:uniqueId val="{00000004-C356-4F58-B57B-C2560DAFDE3D}"/>
              </c:ext>
            </c:extLst>
          </c:dPt>
          <c:dPt>
            <c:idx val="1"/>
            <c:invertIfNegative val="0"/>
            <c:bubble3D val="0"/>
            <c:spPr>
              <a:solidFill>
                <a:srgbClr val="BC8CFF"/>
              </a:solidFill>
              <a:ln>
                <a:noFill/>
              </a:ln>
              <a:effectLst/>
            </c:spPr>
            <c:extLst>
              <c:ext xmlns:c16="http://schemas.microsoft.com/office/drawing/2014/chart" uri="{C3380CC4-5D6E-409C-BE32-E72D297353CC}">
                <c16:uniqueId val="{00000003-C356-4F58-B57B-C2560DAFDE3D}"/>
              </c:ext>
            </c:extLst>
          </c:dPt>
          <c:dPt>
            <c:idx val="2"/>
            <c:invertIfNegative val="0"/>
            <c:bubble3D val="0"/>
            <c:spPr>
              <a:solidFill>
                <a:srgbClr val="FFA657"/>
              </a:solidFill>
              <a:ln>
                <a:noFill/>
              </a:ln>
              <a:effectLst/>
            </c:spPr>
            <c:extLst>
              <c:ext xmlns:c16="http://schemas.microsoft.com/office/drawing/2014/chart" uri="{C3380CC4-5D6E-409C-BE32-E72D297353CC}">
                <c16:uniqueId val="{00000002-C356-4F58-B57B-C2560DAFDE3D}"/>
              </c:ext>
            </c:extLst>
          </c:dPt>
          <c:cat>
            <c:strRef>
              <c:f>'PIVOT TABLES'!$P$4:$P$7</c:f>
              <c:strCache>
                <c:ptCount val="3"/>
                <c:pt idx="0">
                  <c:v>Google Ads</c:v>
                </c:pt>
                <c:pt idx="1">
                  <c:v>Facebook Ads</c:v>
                </c:pt>
                <c:pt idx="2">
                  <c:v>Display Ads</c:v>
                </c:pt>
              </c:strCache>
            </c:strRef>
          </c:cat>
          <c:val>
            <c:numRef>
              <c:f>'PIVOT TABLES'!$R$4:$R$7</c:f>
              <c:numCache>
                <c:formatCode>General</c:formatCode>
                <c:ptCount val="3"/>
                <c:pt idx="0">
                  <c:v>69.909492228155926</c:v>
                </c:pt>
                <c:pt idx="1">
                  <c:v>86.05458394092858</c:v>
                </c:pt>
                <c:pt idx="2">
                  <c:v>548.6321777762289</c:v>
                </c:pt>
              </c:numCache>
            </c:numRef>
          </c:val>
          <c:extLst>
            <c:ext xmlns:c16="http://schemas.microsoft.com/office/drawing/2014/chart" uri="{C3380CC4-5D6E-409C-BE32-E72D297353CC}">
              <c16:uniqueId val="{00000001-C356-4F58-B57B-C2560DAFDE3D}"/>
            </c:ext>
          </c:extLst>
        </c:ser>
        <c:dLbls>
          <c:showLegendKey val="0"/>
          <c:showVal val="0"/>
          <c:showCatName val="0"/>
          <c:showSerName val="0"/>
          <c:showPercent val="0"/>
          <c:showBubbleSize val="0"/>
        </c:dLbls>
        <c:gapWidth val="219"/>
        <c:overlap val="-27"/>
        <c:axId val="433115903"/>
        <c:axId val="433105343"/>
      </c:barChart>
      <c:catAx>
        <c:axId val="433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433105343"/>
        <c:crosses val="autoZero"/>
        <c:auto val="1"/>
        <c:lblAlgn val="ctr"/>
        <c:lblOffset val="100"/>
        <c:noMultiLvlLbl val="0"/>
      </c:catAx>
      <c:valAx>
        <c:axId val="433105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433115903"/>
        <c:crosses val="autoZero"/>
        <c:crossBetween val="between"/>
      </c:valAx>
      <c:spPr>
        <a:noFill/>
        <a:ln>
          <a:solidFill>
            <a:schemeClr val="lt1">
              <a:alpha val="92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61B2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baseline="0">
                <a:solidFill>
                  <a:schemeClr val="bg1"/>
                </a:solidFill>
              </a:rPr>
              <a:t>Google Ads CTR (2.76%) — 3x better than Display Ads</a:t>
            </a:r>
            <a:endParaRPr lang="en-US" b="1" i="0">
              <a:solidFill>
                <a:schemeClr val="bg1"/>
              </a:solidFill>
            </a:endParaRPr>
          </a:p>
        </c:rich>
      </c:tx>
      <c:layout>
        <c:manualLayout>
          <c:xMode val="edge"/>
          <c:yMode val="edge"/>
          <c:x val="0.15733819964046783"/>
          <c:y val="4.8814504881450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49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FB950"/>
          </a:solidFill>
          <a:ln>
            <a:noFill/>
          </a:ln>
          <a:effectLst/>
        </c:spPr>
      </c:pivotFmt>
      <c:pivotFmt>
        <c:idx val="6"/>
        <c:spPr>
          <a:solidFill>
            <a:srgbClr val="BC8CFF"/>
          </a:solidFill>
          <a:ln>
            <a:noFill/>
          </a:ln>
          <a:effectLst/>
        </c:spPr>
      </c:pivotFmt>
      <c:pivotFmt>
        <c:idx val="7"/>
        <c:spPr>
          <a:solidFill>
            <a:srgbClr val="FFA657"/>
          </a:solidFill>
          <a:ln>
            <a:noFill/>
          </a:ln>
          <a:effectLst/>
        </c:spPr>
      </c:pivotFmt>
    </c:pivotFmts>
    <c:plotArea>
      <c:layout/>
      <c:barChart>
        <c:barDir val="col"/>
        <c:grouping val="clustered"/>
        <c:varyColors val="0"/>
        <c:ser>
          <c:idx val="0"/>
          <c:order val="0"/>
          <c:tx>
            <c:strRef>
              <c:f>'PIVOT TABLES'!$Y$8</c:f>
              <c:strCache>
                <c:ptCount val="1"/>
                <c:pt idx="0">
                  <c:v>Total</c:v>
                </c:pt>
              </c:strCache>
            </c:strRef>
          </c:tx>
          <c:spPr>
            <a:solidFill>
              <a:schemeClr val="accent1"/>
            </a:solidFill>
            <a:ln>
              <a:noFill/>
            </a:ln>
            <a:effectLst/>
          </c:spPr>
          <c:invertIfNegative val="0"/>
          <c:dPt>
            <c:idx val="0"/>
            <c:invertIfNegative val="0"/>
            <c:bubble3D val="0"/>
            <c:spPr>
              <a:solidFill>
                <a:srgbClr val="3FB950"/>
              </a:solidFill>
              <a:ln>
                <a:noFill/>
              </a:ln>
              <a:effectLst/>
            </c:spPr>
            <c:extLst>
              <c:ext xmlns:c16="http://schemas.microsoft.com/office/drawing/2014/chart" uri="{C3380CC4-5D6E-409C-BE32-E72D297353CC}">
                <c16:uniqueId val="{00000001-B06D-4823-A006-4A4A62E1E161}"/>
              </c:ext>
            </c:extLst>
          </c:dPt>
          <c:dPt>
            <c:idx val="1"/>
            <c:invertIfNegative val="0"/>
            <c:bubble3D val="0"/>
            <c:spPr>
              <a:solidFill>
                <a:srgbClr val="BC8CFF"/>
              </a:solidFill>
              <a:ln>
                <a:noFill/>
              </a:ln>
              <a:effectLst/>
            </c:spPr>
            <c:extLst>
              <c:ext xmlns:c16="http://schemas.microsoft.com/office/drawing/2014/chart" uri="{C3380CC4-5D6E-409C-BE32-E72D297353CC}">
                <c16:uniqueId val="{00000002-B06D-4823-A006-4A4A62E1E161}"/>
              </c:ext>
            </c:extLst>
          </c:dPt>
          <c:dPt>
            <c:idx val="2"/>
            <c:invertIfNegative val="0"/>
            <c:bubble3D val="0"/>
            <c:spPr>
              <a:solidFill>
                <a:srgbClr val="FFA657"/>
              </a:solidFill>
              <a:ln>
                <a:noFill/>
              </a:ln>
              <a:effectLst/>
            </c:spPr>
            <c:extLst>
              <c:ext xmlns:c16="http://schemas.microsoft.com/office/drawing/2014/chart" uri="{C3380CC4-5D6E-409C-BE32-E72D297353CC}">
                <c16:uniqueId val="{00000003-B06D-4823-A006-4A4A62E1E1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49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TABLES'!$X$9:$X$12</c:f>
              <c:strCache>
                <c:ptCount val="3"/>
                <c:pt idx="0">
                  <c:v>Google Ads</c:v>
                </c:pt>
                <c:pt idx="1">
                  <c:v>Facebook Ads</c:v>
                </c:pt>
                <c:pt idx="2">
                  <c:v>Display Ads</c:v>
                </c:pt>
              </c:strCache>
            </c:strRef>
          </c:cat>
          <c:val>
            <c:numRef>
              <c:f>'PIVOT TABLES'!$Y$9:$Y$12</c:f>
              <c:numCache>
                <c:formatCode>0.00</c:formatCode>
                <c:ptCount val="3"/>
                <c:pt idx="0">
                  <c:v>2.7642359396561131</c:v>
                </c:pt>
                <c:pt idx="1">
                  <c:v>1.594789236436772</c:v>
                </c:pt>
                <c:pt idx="2">
                  <c:v>0.72389059727077709</c:v>
                </c:pt>
              </c:numCache>
            </c:numRef>
          </c:val>
          <c:extLst>
            <c:ext xmlns:c16="http://schemas.microsoft.com/office/drawing/2014/chart" uri="{C3380CC4-5D6E-409C-BE32-E72D297353CC}">
              <c16:uniqueId val="{00000000-B06D-4823-A006-4A4A62E1E161}"/>
            </c:ext>
          </c:extLst>
        </c:ser>
        <c:dLbls>
          <c:dLblPos val="outEnd"/>
          <c:showLegendKey val="0"/>
          <c:showVal val="1"/>
          <c:showCatName val="0"/>
          <c:showSerName val="0"/>
          <c:showPercent val="0"/>
          <c:showBubbleSize val="0"/>
        </c:dLbls>
        <c:gapWidth val="219"/>
        <c:overlap val="-27"/>
        <c:axId val="267659999"/>
        <c:axId val="267658559"/>
      </c:barChart>
      <c:catAx>
        <c:axId val="26765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267658559"/>
        <c:crosses val="autoZero"/>
        <c:auto val="1"/>
        <c:lblAlgn val="ctr"/>
        <c:lblOffset val="100"/>
        <c:noMultiLvlLbl val="0"/>
      </c:catAx>
      <c:valAx>
        <c:axId val="267658559"/>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8B949E"/>
                    </a:solidFill>
                    <a:latin typeface="+mn-lt"/>
                    <a:ea typeface="+mn-ea"/>
                    <a:cs typeface="+mn-cs"/>
                  </a:defRPr>
                </a:pPr>
                <a:r>
                  <a:rPr lang="en-US">
                    <a:solidFill>
                      <a:srgbClr val="8B949E"/>
                    </a:solidFill>
                  </a:rPr>
                  <a:t>CTR %</a:t>
                </a:r>
              </a:p>
            </c:rich>
          </c:tx>
          <c:layout>
            <c:manualLayout>
              <c:xMode val="edge"/>
              <c:yMode val="edge"/>
              <c:x val="2.7777777777777776E-2"/>
              <c:y val="0.391376470200639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8B949E"/>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26765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61B2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[Digital_Marketing_Campaign_Data.xlsx]PIVOT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baseline="0">
                <a:solidFill>
                  <a:schemeClr val="bg1"/>
                </a:solidFill>
              </a:rPr>
              <a:t>Google Ads dominates Conversions at 57% of total</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49E"/>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A657"/>
          </a:solidFill>
          <a:ln>
            <a:noFill/>
          </a:ln>
          <a:effectLst/>
        </c:spPr>
      </c:pivotFmt>
      <c:pivotFmt>
        <c:idx val="6"/>
        <c:spPr>
          <a:solidFill>
            <a:srgbClr val="BC8CFF"/>
          </a:solidFill>
          <a:ln>
            <a:noFill/>
          </a:ln>
          <a:effectLst/>
        </c:spPr>
      </c:pivotFmt>
      <c:pivotFmt>
        <c:idx val="7"/>
        <c:spPr>
          <a:solidFill>
            <a:srgbClr val="3FB950"/>
          </a:solidFill>
          <a:ln>
            <a:noFill/>
          </a:ln>
          <a:effectLst/>
        </c:spPr>
      </c:pivotFmt>
    </c:pivotFmts>
    <c:plotArea>
      <c:layout/>
      <c:barChart>
        <c:barDir val="bar"/>
        <c:grouping val="clustered"/>
        <c:varyColors val="0"/>
        <c:ser>
          <c:idx val="0"/>
          <c:order val="0"/>
          <c:tx>
            <c:strRef>
              <c:f>'PIVOT TABLES'!$AB$8</c:f>
              <c:strCache>
                <c:ptCount val="1"/>
                <c:pt idx="0">
                  <c:v>Total</c:v>
                </c:pt>
              </c:strCache>
            </c:strRef>
          </c:tx>
          <c:spPr>
            <a:solidFill>
              <a:schemeClr val="accent1"/>
            </a:solidFill>
            <a:ln>
              <a:noFill/>
            </a:ln>
            <a:effectLst/>
          </c:spPr>
          <c:invertIfNegative val="0"/>
          <c:dPt>
            <c:idx val="0"/>
            <c:invertIfNegative val="0"/>
            <c:bubble3D val="0"/>
            <c:spPr>
              <a:solidFill>
                <a:srgbClr val="3FB950"/>
              </a:solidFill>
              <a:ln>
                <a:noFill/>
              </a:ln>
              <a:effectLst/>
            </c:spPr>
            <c:extLst>
              <c:ext xmlns:c16="http://schemas.microsoft.com/office/drawing/2014/chart" uri="{C3380CC4-5D6E-409C-BE32-E72D297353CC}">
                <c16:uniqueId val="{00000003-4CDD-4016-9C17-2769B2F06ABC}"/>
              </c:ext>
            </c:extLst>
          </c:dPt>
          <c:dPt>
            <c:idx val="1"/>
            <c:invertIfNegative val="0"/>
            <c:bubble3D val="0"/>
            <c:spPr>
              <a:solidFill>
                <a:srgbClr val="BC8CFF"/>
              </a:solidFill>
              <a:ln>
                <a:noFill/>
              </a:ln>
              <a:effectLst/>
            </c:spPr>
            <c:extLst>
              <c:ext xmlns:c16="http://schemas.microsoft.com/office/drawing/2014/chart" uri="{C3380CC4-5D6E-409C-BE32-E72D297353CC}">
                <c16:uniqueId val="{00000002-4CDD-4016-9C17-2769B2F06ABC}"/>
              </c:ext>
            </c:extLst>
          </c:dPt>
          <c:dPt>
            <c:idx val="2"/>
            <c:invertIfNegative val="0"/>
            <c:bubble3D val="0"/>
            <c:spPr>
              <a:solidFill>
                <a:srgbClr val="FFA657"/>
              </a:solidFill>
              <a:ln>
                <a:noFill/>
              </a:ln>
              <a:effectLst/>
            </c:spPr>
            <c:extLst>
              <c:ext xmlns:c16="http://schemas.microsoft.com/office/drawing/2014/chart" uri="{C3380CC4-5D6E-409C-BE32-E72D297353CC}">
                <c16:uniqueId val="{00000001-4CDD-4016-9C17-2769B2F06AB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949E"/>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TABLES'!$AA$9:$AA$12</c:f>
              <c:strCache>
                <c:ptCount val="3"/>
                <c:pt idx="0">
                  <c:v>Google Ads</c:v>
                </c:pt>
                <c:pt idx="1">
                  <c:v>Facebook Ads</c:v>
                </c:pt>
                <c:pt idx="2">
                  <c:v>Display Ads</c:v>
                </c:pt>
              </c:strCache>
            </c:strRef>
          </c:cat>
          <c:val>
            <c:numRef>
              <c:f>'PIVOT TABLES'!$AB$9:$AB$12</c:f>
              <c:numCache>
                <c:formatCode>0.00</c:formatCode>
                <c:ptCount val="3"/>
                <c:pt idx="0">
                  <c:v>249885</c:v>
                </c:pt>
                <c:pt idx="1">
                  <c:v>123457</c:v>
                </c:pt>
                <c:pt idx="2">
                  <c:v>61081</c:v>
                </c:pt>
              </c:numCache>
            </c:numRef>
          </c:val>
          <c:extLst>
            <c:ext xmlns:c16="http://schemas.microsoft.com/office/drawing/2014/chart" uri="{C3380CC4-5D6E-409C-BE32-E72D297353CC}">
              <c16:uniqueId val="{00000000-4CDD-4016-9C17-2769B2F06ABC}"/>
            </c:ext>
          </c:extLst>
        </c:ser>
        <c:dLbls>
          <c:showLegendKey val="0"/>
          <c:showVal val="1"/>
          <c:showCatName val="0"/>
          <c:showSerName val="0"/>
          <c:showPercent val="0"/>
          <c:showBubbleSize val="0"/>
        </c:dLbls>
        <c:gapWidth val="182"/>
        <c:axId val="1067272239"/>
        <c:axId val="1067275119"/>
      </c:barChart>
      <c:catAx>
        <c:axId val="1067272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1067275119"/>
        <c:crosses val="autoZero"/>
        <c:auto val="1"/>
        <c:lblAlgn val="ctr"/>
        <c:lblOffset val="100"/>
        <c:noMultiLvlLbl val="0"/>
      </c:catAx>
      <c:valAx>
        <c:axId val="1067275119"/>
        <c:scaling>
          <c:orientation val="minMax"/>
        </c:scaling>
        <c:delete val="0"/>
        <c:axPos val="b"/>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B949E"/>
                </a:solidFill>
                <a:latin typeface="+mn-lt"/>
                <a:ea typeface="+mn-ea"/>
                <a:cs typeface="+mn-cs"/>
              </a:defRPr>
            </a:pPr>
            <a:endParaRPr lang="en-US"/>
          </a:p>
        </c:txPr>
        <c:crossAx val="106727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61B2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[Digital_Marketing_Campaign_Data.xlsx]PIVOT TABLES!PivotTable6</c:name>
    <c:fmtId val="16"/>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sz="1400" b="1" i="0" u="none" strike="noStrike" baseline="0">
                <a:solidFill>
                  <a:schemeClr val="bg1"/>
                </a:solidFill>
              </a:rPr>
              <a:t>Spend Share by Platform</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
        <c:idx val="8"/>
        <c:spPr>
          <a:solidFill>
            <a:srgbClr val="BC8CFF"/>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
        <c:idx val="9"/>
        <c:spPr>
          <a:solidFill>
            <a:srgbClr val="FFA657"/>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'PIVOT TABLES'!$V$3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564-4A73-829F-B4CEFB2400E8}"/>
              </c:ext>
            </c:extLst>
          </c:dPt>
          <c:dPt>
            <c:idx val="1"/>
            <c:bubble3D val="0"/>
            <c:spPr>
              <a:solidFill>
                <a:srgbClr val="BC8CFF"/>
              </a:solidFill>
              <a:ln w="19050">
                <a:solidFill>
                  <a:schemeClr val="lt1"/>
                </a:solidFill>
              </a:ln>
              <a:effectLst/>
            </c:spPr>
            <c:extLst>
              <c:ext xmlns:c16="http://schemas.microsoft.com/office/drawing/2014/chart" uri="{C3380CC4-5D6E-409C-BE32-E72D297353CC}">
                <c16:uniqueId val="{00000003-0564-4A73-829F-B4CEFB2400E8}"/>
              </c:ext>
            </c:extLst>
          </c:dPt>
          <c:dPt>
            <c:idx val="2"/>
            <c:bubble3D val="0"/>
            <c:spPr>
              <a:solidFill>
                <a:srgbClr val="FFA657"/>
              </a:solidFill>
              <a:ln w="19050">
                <a:solidFill>
                  <a:schemeClr val="lt1"/>
                </a:solidFill>
              </a:ln>
              <a:effectLst/>
            </c:spPr>
            <c:extLst>
              <c:ext xmlns:c16="http://schemas.microsoft.com/office/drawing/2014/chart" uri="{C3380CC4-5D6E-409C-BE32-E72D297353CC}">
                <c16:uniqueId val="{00000005-0564-4A73-829F-B4CEFB2400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TABLES'!$U$4:$U$7</c:f>
              <c:strCache>
                <c:ptCount val="3"/>
                <c:pt idx="0">
                  <c:v>Google Ads</c:v>
                </c:pt>
                <c:pt idx="1">
                  <c:v>Facebook Ads</c:v>
                </c:pt>
                <c:pt idx="2">
                  <c:v>Display Ads</c:v>
                </c:pt>
              </c:strCache>
            </c:strRef>
          </c:cat>
          <c:val>
            <c:numRef>
              <c:f>'PIVOT TABLES'!$V$4:$V$7</c:f>
              <c:numCache>
                <c:formatCode>0.00</c:formatCode>
                <c:ptCount val="3"/>
                <c:pt idx="0">
                  <c:v>2774450.1099999975</c:v>
                </c:pt>
                <c:pt idx="1">
                  <c:v>2569047.9399999972</c:v>
                </c:pt>
                <c:pt idx="2">
                  <c:v>2994319.4000000027</c:v>
                </c:pt>
              </c:numCache>
            </c:numRef>
          </c:val>
          <c:extLst>
            <c:ext xmlns:c16="http://schemas.microsoft.com/office/drawing/2014/chart" uri="{C3380CC4-5D6E-409C-BE32-E72D297353CC}">
              <c16:uniqueId val="{00000006-0564-4A73-829F-B4CEFB2400E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61B22"/>
    </a:solidFill>
    <a:ln w="9525" cap="flat" cmpd="sng" algn="ctr">
      <a:solidFill>
        <a:schemeClr val="tx1">
          <a:lumMod val="15000"/>
          <a:lumOff val="85000"/>
        </a:schemeClr>
      </a:solid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121920</xdr:colOff>
      <xdr:row>28</xdr:row>
      <xdr:rowOff>30480</xdr:rowOff>
    </xdr:to>
    <xdr:sp macro="" textlink="">
      <xdr:nvSpPr>
        <xdr:cNvPr id="2" name="Rectangle 1">
          <a:extLst>
            <a:ext uri="{FF2B5EF4-FFF2-40B4-BE49-F238E27FC236}">
              <a16:creationId xmlns:a16="http://schemas.microsoft.com/office/drawing/2014/main" id="{B2F05AC2-E347-46A0-A9CF-580343BCD5B8}"/>
            </a:ext>
          </a:extLst>
        </xdr:cNvPr>
        <xdr:cNvSpPr/>
      </xdr:nvSpPr>
      <xdr:spPr>
        <a:xfrm>
          <a:off x="0" y="0"/>
          <a:ext cx="14142720" cy="5151120"/>
        </a:xfrm>
        <a:prstGeom prst="rect">
          <a:avLst/>
        </a:prstGeom>
        <a:solidFill>
          <a:srgbClr val="30363D"/>
        </a:solidFill>
        <a:ln w="31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xdr:colOff>
      <xdr:row>2</xdr:row>
      <xdr:rowOff>144780</xdr:rowOff>
    </xdr:from>
    <xdr:to>
      <xdr:col>3</xdr:col>
      <xdr:colOff>106680</xdr:colOff>
      <xdr:row>5</xdr:row>
      <xdr:rowOff>0</xdr:rowOff>
    </xdr:to>
    <xdr:sp macro="" textlink="">
      <xdr:nvSpPr>
        <xdr:cNvPr id="3" name="Rectangle: Rounded Corners 2">
          <a:extLst>
            <a:ext uri="{FF2B5EF4-FFF2-40B4-BE49-F238E27FC236}">
              <a16:creationId xmlns:a16="http://schemas.microsoft.com/office/drawing/2014/main" id="{A29A37DE-9D74-4443-8798-2352D0D194E1}"/>
            </a:ext>
          </a:extLst>
        </xdr:cNvPr>
        <xdr:cNvSpPr/>
      </xdr:nvSpPr>
      <xdr:spPr>
        <a:xfrm>
          <a:off x="30480" y="510540"/>
          <a:ext cx="1905000" cy="40386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400"/>
            <a:t>TOTAL SPEND </a:t>
          </a:r>
        </a:p>
      </xdr:txBody>
    </xdr:sp>
    <xdr:clientData/>
  </xdr:twoCellAnchor>
  <xdr:twoCellAnchor>
    <xdr:from>
      <xdr:col>0</xdr:col>
      <xdr:colOff>22860</xdr:colOff>
      <xdr:row>5</xdr:row>
      <xdr:rowOff>0</xdr:rowOff>
    </xdr:from>
    <xdr:to>
      <xdr:col>3</xdr:col>
      <xdr:colOff>106680</xdr:colOff>
      <xdr:row>7</xdr:row>
      <xdr:rowOff>99060</xdr:rowOff>
    </xdr:to>
    <xdr:sp macro="" textlink="'PIVOT TABLES'!C13">
      <xdr:nvSpPr>
        <xdr:cNvPr id="4" name="Rectangle: Rounded Corners 3">
          <a:extLst>
            <a:ext uri="{FF2B5EF4-FFF2-40B4-BE49-F238E27FC236}">
              <a16:creationId xmlns:a16="http://schemas.microsoft.com/office/drawing/2014/main" id="{91B803B7-926A-4262-9D9D-AC379584FE59}"/>
            </a:ext>
          </a:extLst>
        </xdr:cNvPr>
        <xdr:cNvSpPr/>
      </xdr:nvSpPr>
      <xdr:spPr>
        <a:xfrm>
          <a:off x="22860" y="914400"/>
          <a:ext cx="1912620" cy="464820"/>
        </a:xfrm>
        <a:prstGeom prst="roundRect">
          <a:avLst/>
        </a:prstGeom>
        <a:solidFill>
          <a:srgbClr val="161B22"/>
        </a:solidFill>
        <a:ln w="31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7ABFC5-86BB-4D5A-8F6D-711636EC65F7}" type="TxLink">
            <a:rPr lang="en-US" sz="1800" b="0" i="0" u="none" strike="noStrike">
              <a:solidFill>
                <a:schemeClr val="bg1">
                  <a:lumMod val="95000"/>
                </a:schemeClr>
              </a:solidFill>
              <a:latin typeface="Calibri"/>
              <a:ea typeface="Calibri"/>
              <a:cs typeface="Calibri"/>
            </a:rPr>
            <a:pPr algn="ctr"/>
            <a:t> $8,337,817 </a:t>
          </a:fld>
          <a:endParaRPr lang="en-US" sz="1800">
            <a:solidFill>
              <a:schemeClr val="bg1">
                <a:lumMod val="95000"/>
              </a:schemeClr>
            </a:solidFill>
          </a:endParaRPr>
        </a:p>
      </xdr:txBody>
    </xdr:sp>
    <xdr:clientData/>
  </xdr:twoCellAnchor>
  <xdr:twoCellAnchor>
    <xdr:from>
      <xdr:col>13</xdr:col>
      <xdr:colOff>137160</xdr:colOff>
      <xdr:row>3</xdr:row>
      <xdr:rowOff>0</xdr:rowOff>
    </xdr:from>
    <xdr:to>
      <xdr:col>16</xdr:col>
      <xdr:colOff>213360</xdr:colOff>
      <xdr:row>4</xdr:row>
      <xdr:rowOff>175260</xdr:rowOff>
    </xdr:to>
    <xdr:sp macro="" textlink="">
      <xdr:nvSpPr>
        <xdr:cNvPr id="5" name="Rectangle: Rounded Corners 4">
          <a:extLst>
            <a:ext uri="{FF2B5EF4-FFF2-40B4-BE49-F238E27FC236}">
              <a16:creationId xmlns:a16="http://schemas.microsoft.com/office/drawing/2014/main" id="{0050BCF2-E14A-4752-81E5-5D9236C69BA2}"/>
            </a:ext>
          </a:extLst>
        </xdr:cNvPr>
        <xdr:cNvSpPr/>
      </xdr:nvSpPr>
      <xdr:spPr>
        <a:xfrm>
          <a:off x="8061960" y="548640"/>
          <a:ext cx="1905000" cy="3581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400"/>
            <a:t>AVG CTR %</a:t>
          </a:r>
        </a:p>
      </xdr:txBody>
    </xdr:sp>
    <xdr:clientData/>
  </xdr:twoCellAnchor>
  <xdr:twoCellAnchor>
    <xdr:from>
      <xdr:col>13</xdr:col>
      <xdr:colOff>129540</xdr:colOff>
      <xdr:row>4</xdr:row>
      <xdr:rowOff>175260</xdr:rowOff>
    </xdr:from>
    <xdr:to>
      <xdr:col>16</xdr:col>
      <xdr:colOff>213360</xdr:colOff>
      <xdr:row>7</xdr:row>
      <xdr:rowOff>91440</xdr:rowOff>
    </xdr:to>
    <xdr:sp macro="" textlink="'PIVOT TABLES'!G13">
      <xdr:nvSpPr>
        <xdr:cNvPr id="6" name="Rectangle: Rounded Corners 5">
          <a:extLst>
            <a:ext uri="{FF2B5EF4-FFF2-40B4-BE49-F238E27FC236}">
              <a16:creationId xmlns:a16="http://schemas.microsoft.com/office/drawing/2014/main" id="{35E06F3D-60B1-499A-96E2-A799A8515AF4}"/>
            </a:ext>
          </a:extLst>
        </xdr:cNvPr>
        <xdr:cNvSpPr/>
      </xdr:nvSpPr>
      <xdr:spPr>
        <a:xfrm>
          <a:off x="8054340" y="906780"/>
          <a:ext cx="1912620" cy="464820"/>
        </a:xfrm>
        <a:prstGeom prst="roundRect">
          <a:avLst/>
        </a:prstGeom>
        <a:solidFill>
          <a:srgbClr val="161B22"/>
        </a:solidFill>
        <a:ln w="31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FF49DF-4CD8-45B6-AC3F-217684426435}" type="TxLink">
            <a:rPr lang="en-US" sz="1800" b="0" i="0" u="none" strike="noStrike">
              <a:solidFill>
                <a:schemeClr val="bg1">
                  <a:lumMod val="95000"/>
                </a:schemeClr>
              </a:solidFill>
              <a:latin typeface="Calibri"/>
              <a:ea typeface="Calibri"/>
              <a:cs typeface="Calibri"/>
            </a:rPr>
            <a:pPr algn="ctr"/>
            <a:t>1.70 %</a:t>
          </a:fld>
          <a:endParaRPr lang="en-US" sz="1800">
            <a:solidFill>
              <a:schemeClr val="bg1">
                <a:lumMod val="95000"/>
              </a:schemeClr>
            </a:solidFill>
          </a:endParaRPr>
        </a:p>
      </xdr:txBody>
    </xdr:sp>
    <xdr:clientData/>
  </xdr:twoCellAnchor>
  <xdr:twoCellAnchor>
    <xdr:from>
      <xdr:col>9</xdr:col>
      <xdr:colOff>563880</xdr:colOff>
      <xdr:row>2</xdr:row>
      <xdr:rowOff>175260</xdr:rowOff>
    </xdr:from>
    <xdr:to>
      <xdr:col>13</xdr:col>
      <xdr:colOff>30480</xdr:colOff>
      <xdr:row>5</xdr:row>
      <xdr:rowOff>7620</xdr:rowOff>
    </xdr:to>
    <xdr:sp macro="" textlink="">
      <xdr:nvSpPr>
        <xdr:cNvPr id="7" name="Rectangle: Rounded Corners 6">
          <a:extLst>
            <a:ext uri="{FF2B5EF4-FFF2-40B4-BE49-F238E27FC236}">
              <a16:creationId xmlns:a16="http://schemas.microsoft.com/office/drawing/2014/main" id="{D5D740CA-060F-4861-A709-07993219D648}"/>
            </a:ext>
          </a:extLst>
        </xdr:cNvPr>
        <xdr:cNvSpPr/>
      </xdr:nvSpPr>
      <xdr:spPr>
        <a:xfrm>
          <a:off x="6050280" y="541020"/>
          <a:ext cx="1905000" cy="381000"/>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400"/>
            <a:t>CONVERSION</a:t>
          </a:r>
        </a:p>
      </xdr:txBody>
    </xdr:sp>
    <xdr:clientData/>
  </xdr:twoCellAnchor>
  <xdr:twoCellAnchor>
    <xdr:from>
      <xdr:col>9</xdr:col>
      <xdr:colOff>556260</xdr:colOff>
      <xdr:row>4</xdr:row>
      <xdr:rowOff>175260</xdr:rowOff>
    </xdr:from>
    <xdr:to>
      <xdr:col>13</xdr:col>
      <xdr:colOff>30480</xdr:colOff>
      <xdr:row>7</xdr:row>
      <xdr:rowOff>91440</xdr:rowOff>
    </xdr:to>
    <xdr:sp macro="" textlink="'PIVOT TABLES'!F13">
      <xdr:nvSpPr>
        <xdr:cNvPr id="8" name="Rectangle: Rounded Corners 7">
          <a:extLst>
            <a:ext uri="{FF2B5EF4-FFF2-40B4-BE49-F238E27FC236}">
              <a16:creationId xmlns:a16="http://schemas.microsoft.com/office/drawing/2014/main" id="{55251437-41CC-4D3F-BE4B-24A45FDFEDA3}"/>
            </a:ext>
          </a:extLst>
        </xdr:cNvPr>
        <xdr:cNvSpPr/>
      </xdr:nvSpPr>
      <xdr:spPr>
        <a:xfrm>
          <a:off x="6042660" y="906780"/>
          <a:ext cx="1912620" cy="464820"/>
        </a:xfrm>
        <a:prstGeom prst="roundRect">
          <a:avLst/>
        </a:prstGeom>
        <a:solidFill>
          <a:srgbClr val="161B22"/>
        </a:solidFill>
        <a:ln w="3175">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7ED981A-31C8-4EA3-8AAF-5B88DD20F73B}" type="TxLink">
            <a:rPr lang="en-US" sz="1800" b="0" i="0" u="none" strike="noStrike">
              <a:solidFill>
                <a:schemeClr val="bg1">
                  <a:lumMod val="95000"/>
                </a:schemeClr>
              </a:solidFill>
              <a:latin typeface="Calibri"/>
              <a:ea typeface="Calibri"/>
              <a:cs typeface="Calibri"/>
            </a:rPr>
            <a:pPr algn="ctr"/>
            <a:t>434,423</a:t>
          </a:fld>
          <a:endParaRPr lang="en-US" sz="1800">
            <a:solidFill>
              <a:schemeClr val="bg1">
                <a:lumMod val="95000"/>
              </a:schemeClr>
            </a:solidFill>
          </a:endParaRPr>
        </a:p>
      </xdr:txBody>
    </xdr:sp>
    <xdr:clientData/>
  </xdr:twoCellAnchor>
  <xdr:twoCellAnchor>
    <xdr:from>
      <xdr:col>3</xdr:col>
      <xdr:colOff>213360</xdr:colOff>
      <xdr:row>2</xdr:row>
      <xdr:rowOff>160020</xdr:rowOff>
    </xdr:from>
    <xdr:to>
      <xdr:col>6</xdr:col>
      <xdr:colOff>289560</xdr:colOff>
      <xdr:row>5</xdr:row>
      <xdr:rowOff>7620</xdr:rowOff>
    </xdr:to>
    <xdr:sp macro="" textlink="">
      <xdr:nvSpPr>
        <xdr:cNvPr id="9" name="Rectangle: Rounded Corners 8">
          <a:extLst>
            <a:ext uri="{FF2B5EF4-FFF2-40B4-BE49-F238E27FC236}">
              <a16:creationId xmlns:a16="http://schemas.microsoft.com/office/drawing/2014/main" id="{F6F4E387-D474-43DC-A9C6-2429CEE7AB3F}"/>
            </a:ext>
          </a:extLst>
        </xdr:cNvPr>
        <xdr:cNvSpPr/>
      </xdr:nvSpPr>
      <xdr:spPr>
        <a:xfrm>
          <a:off x="2042160" y="525780"/>
          <a:ext cx="1905000" cy="39624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400"/>
            <a:t>IMPRESSIONS</a:t>
          </a:r>
        </a:p>
      </xdr:txBody>
    </xdr:sp>
    <xdr:clientData/>
  </xdr:twoCellAnchor>
  <xdr:twoCellAnchor>
    <xdr:from>
      <xdr:col>3</xdr:col>
      <xdr:colOff>198120</xdr:colOff>
      <xdr:row>5</xdr:row>
      <xdr:rowOff>0</xdr:rowOff>
    </xdr:from>
    <xdr:to>
      <xdr:col>6</xdr:col>
      <xdr:colOff>281940</xdr:colOff>
      <xdr:row>7</xdr:row>
      <xdr:rowOff>99060</xdr:rowOff>
    </xdr:to>
    <xdr:sp macro="" textlink="'PIVOT TABLES'!D13">
      <xdr:nvSpPr>
        <xdr:cNvPr id="10" name="Rectangle: Rounded Corners 9">
          <a:extLst>
            <a:ext uri="{FF2B5EF4-FFF2-40B4-BE49-F238E27FC236}">
              <a16:creationId xmlns:a16="http://schemas.microsoft.com/office/drawing/2014/main" id="{65181B1A-7768-4EE9-8D0A-860C8EFF0E0D}"/>
            </a:ext>
          </a:extLst>
        </xdr:cNvPr>
        <xdr:cNvSpPr/>
      </xdr:nvSpPr>
      <xdr:spPr>
        <a:xfrm>
          <a:off x="2026920" y="914400"/>
          <a:ext cx="1912620" cy="464820"/>
        </a:xfrm>
        <a:prstGeom prst="roundRect">
          <a:avLst/>
        </a:prstGeom>
        <a:solidFill>
          <a:srgbClr val="161B22"/>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C86748-EF90-4D33-BB50-5DAA4A6D637B}" type="TxLink">
            <a:rPr lang="en-US" sz="1800" b="0" i="0" u="none" strike="noStrike">
              <a:solidFill>
                <a:schemeClr val="bg1">
                  <a:lumMod val="95000"/>
                </a:schemeClr>
              </a:solidFill>
              <a:latin typeface="Calibri"/>
              <a:ea typeface="Calibri"/>
              <a:cs typeface="Calibri"/>
            </a:rPr>
            <a:pPr algn="ctr"/>
            <a:t>421,230,481</a:t>
          </a:fld>
          <a:endParaRPr lang="en-US" sz="1800">
            <a:solidFill>
              <a:schemeClr val="bg1">
                <a:lumMod val="95000"/>
              </a:schemeClr>
            </a:solidFill>
          </a:endParaRPr>
        </a:p>
      </xdr:txBody>
    </xdr:sp>
    <xdr:clientData/>
  </xdr:twoCellAnchor>
  <xdr:twoCellAnchor>
    <xdr:from>
      <xdr:col>6</xdr:col>
      <xdr:colOff>388620</xdr:colOff>
      <xdr:row>2</xdr:row>
      <xdr:rowOff>167640</xdr:rowOff>
    </xdr:from>
    <xdr:to>
      <xdr:col>9</xdr:col>
      <xdr:colOff>464820</xdr:colOff>
      <xdr:row>5</xdr:row>
      <xdr:rowOff>7620</xdr:rowOff>
    </xdr:to>
    <xdr:sp macro="" textlink="">
      <xdr:nvSpPr>
        <xdr:cNvPr id="11" name="Rectangle: Rounded Corners 10">
          <a:extLst>
            <a:ext uri="{FF2B5EF4-FFF2-40B4-BE49-F238E27FC236}">
              <a16:creationId xmlns:a16="http://schemas.microsoft.com/office/drawing/2014/main" id="{D792CD9B-05CB-4C7B-B3B9-1540470ABCEB}"/>
            </a:ext>
          </a:extLst>
        </xdr:cNvPr>
        <xdr:cNvSpPr/>
      </xdr:nvSpPr>
      <xdr:spPr>
        <a:xfrm>
          <a:off x="4046220" y="533400"/>
          <a:ext cx="1905000" cy="38862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1400"/>
            <a:t>TOTAL CLICKS</a:t>
          </a:r>
        </a:p>
      </xdr:txBody>
    </xdr:sp>
    <xdr:clientData/>
  </xdr:twoCellAnchor>
  <xdr:twoCellAnchor>
    <xdr:from>
      <xdr:col>6</xdr:col>
      <xdr:colOff>381000</xdr:colOff>
      <xdr:row>5</xdr:row>
      <xdr:rowOff>15240</xdr:rowOff>
    </xdr:from>
    <xdr:to>
      <xdr:col>9</xdr:col>
      <xdr:colOff>464820</xdr:colOff>
      <xdr:row>7</xdr:row>
      <xdr:rowOff>114300</xdr:rowOff>
    </xdr:to>
    <xdr:sp macro="" textlink="'PIVOT TABLES'!E13">
      <xdr:nvSpPr>
        <xdr:cNvPr id="12" name="Rectangle: Rounded Corners 11">
          <a:extLst>
            <a:ext uri="{FF2B5EF4-FFF2-40B4-BE49-F238E27FC236}">
              <a16:creationId xmlns:a16="http://schemas.microsoft.com/office/drawing/2014/main" id="{A9FDE977-B5EB-4793-9A2A-F927E08F27FC}"/>
            </a:ext>
          </a:extLst>
        </xdr:cNvPr>
        <xdr:cNvSpPr/>
      </xdr:nvSpPr>
      <xdr:spPr>
        <a:xfrm>
          <a:off x="4038600" y="929640"/>
          <a:ext cx="1912620" cy="464820"/>
        </a:xfrm>
        <a:prstGeom prst="roundRect">
          <a:avLst/>
        </a:prstGeom>
        <a:solidFill>
          <a:srgbClr val="161B22"/>
        </a:solidFill>
        <a:ln w="3175">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7D37F1E-8C42-4394-8483-9F4289F6160E}" type="TxLink">
            <a:rPr lang="en-US" sz="1800" b="0" i="0" u="none" strike="noStrike">
              <a:solidFill>
                <a:schemeClr val="bg1">
                  <a:lumMod val="95000"/>
                </a:schemeClr>
              </a:solidFill>
              <a:latin typeface="Calibri"/>
              <a:ea typeface="Calibri"/>
              <a:cs typeface="Calibri"/>
            </a:rPr>
            <a:pPr algn="ctr"/>
            <a:t>7,158,196</a:t>
          </a:fld>
          <a:endParaRPr lang="en-US" sz="1800">
            <a:solidFill>
              <a:schemeClr val="bg1">
                <a:lumMod val="95000"/>
              </a:schemeClr>
            </a:solidFill>
          </a:endParaRPr>
        </a:p>
      </xdr:txBody>
    </xdr:sp>
    <xdr:clientData/>
  </xdr:twoCellAnchor>
  <xdr:twoCellAnchor>
    <xdr:from>
      <xdr:col>19</xdr:col>
      <xdr:colOff>541020</xdr:colOff>
      <xdr:row>3</xdr:row>
      <xdr:rowOff>15240</xdr:rowOff>
    </xdr:from>
    <xdr:to>
      <xdr:col>23</xdr:col>
      <xdr:colOff>7620</xdr:colOff>
      <xdr:row>4</xdr:row>
      <xdr:rowOff>175260</xdr:rowOff>
    </xdr:to>
    <xdr:sp macro="" textlink="">
      <xdr:nvSpPr>
        <xdr:cNvPr id="13" name="Rectangle: Rounded Corners 12">
          <a:extLst>
            <a:ext uri="{FF2B5EF4-FFF2-40B4-BE49-F238E27FC236}">
              <a16:creationId xmlns:a16="http://schemas.microsoft.com/office/drawing/2014/main" id="{7BB740A2-22AA-47FC-AC5B-7AE1F0673B90}"/>
            </a:ext>
          </a:extLst>
        </xdr:cNvPr>
        <xdr:cNvSpPr/>
      </xdr:nvSpPr>
      <xdr:spPr>
        <a:xfrm>
          <a:off x="12123420" y="563880"/>
          <a:ext cx="1905000" cy="34290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1400"/>
            <a:t>AVG CPA</a:t>
          </a:r>
        </a:p>
      </xdr:txBody>
    </xdr:sp>
    <xdr:clientData/>
  </xdr:twoCellAnchor>
  <xdr:twoCellAnchor>
    <xdr:from>
      <xdr:col>19</xdr:col>
      <xdr:colOff>548640</xdr:colOff>
      <xdr:row>4</xdr:row>
      <xdr:rowOff>167640</xdr:rowOff>
    </xdr:from>
    <xdr:to>
      <xdr:col>23</xdr:col>
      <xdr:colOff>22860</xdr:colOff>
      <xdr:row>7</xdr:row>
      <xdr:rowOff>83820</xdr:rowOff>
    </xdr:to>
    <xdr:sp macro="" textlink="'PIVOT TABLES'!I13">
      <xdr:nvSpPr>
        <xdr:cNvPr id="14" name="Rectangle: Rounded Corners 13">
          <a:extLst>
            <a:ext uri="{FF2B5EF4-FFF2-40B4-BE49-F238E27FC236}">
              <a16:creationId xmlns:a16="http://schemas.microsoft.com/office/drawing/2014/main" id="{E6EE78C5-256E-4B47-B776-45CD50D564D8}"/>
            </a:ext>
          </a:extLst>
        </xdr:cNvPr>
        <xdr:cNvSpPr/>
      </xdr:nvSpPr>
      <xdr:spPr>
        <a:xfrm>
          <a:off x="12131040" y="899160"/>
          <a:ext cx="1912620" cy="464820"/>
        </a:xfrm>
        <a:prstGeom prst="roundRect">
          <a:avLst/>
        </a:prstGeom>
        <a:solidFill>
          <a:srgbClr val="161B22"/>
        </a:solidFill>
        <a:ln w="3175">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E77507-C5DE-49D9-80F6-FABC7D90F16D}" type="TxLink">
            <a:rPr lang="en-US" sz="1800" b="0" i="0" u="none" strike="noStrike">
              <a:solidFill>
                <a:schemeClr val="bg1">
                  <a:lumMod val="95000"/>
                </a:schemeClr>
              </a:solidFill>
              <a:latin typeface="Arial"/>
              <a:cs typeface="Arial"/>
            </a:rPr>
            <a:pPr algn="ctr"/>
            <a:t>$235.54 </a:t>
          </a:fld>
          <a:endParaRPr lang="en-US" sz="1800">
            <a:solidFill>
              <a:schemeClr val="bg1">
                <a:lumMod val="95000"/>
              </a:schemeClr>
            </a:solidFill>
          </a:endParaRPr>
        </a:p>
      </xdr:txBody>
    </xdr:sp>
    <xdr:clientData/>
  </xdr:twoCellAnchor>
  <xdr:twoCellAnchor>
    <xdr:from>
      <xdr:col>16</xdr:col>
      <xdr:colOff>312420</xdr:colOff>
      <xdr:row>3</xdr:row>
      <xdr:rowOff>7620</xdr:rowOff>
    </xdr:from>
    <xdr:to>
      <xdr:col>19</xdr:col>
      <xdr:colOff>388620</xdr:colOff>
      <xdr:row>5</xdr:row>
      <xdr:rowOff>0</xdr:rowOff>
    </xdr:to>
    <xdr:sp macro="" textlink="">
      <xdr:nvSpPr>
        <xdr:cNvPr id="15" name="Rectangle: Rounded Corners 14">
          <a:extLst>
            <a:ext uri="{FF2B5EF4-FFF2-40B4-BE49-F238E27FC236}">
              <a16:creationId xmlns:a16="http://schemas.microsoft.com/office/drawing/2014/main" id="{B9749F06-D615-472B-9B69-A9292A7DF764}"/>
            </a:ext>
          </a:extLst>
        </xdr:cNvPr>
        <xdr:cNvSpPr/>
      </xdr:nvSpPr>
      <xdr:spPr>
        <a:xfrm>
          <a:off x="10066020" y="556260"/>
          <a:ext cx="1905000" cy="35814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US" sz="1400"/>
            <a:t>AVG CPC</a:t>
          </a:r>
        </a:p>
      </xdr:txBody>
    </xdr:sp>
    <xdr:clientData/>
  </xdr:twoCellAnchor>
  <xdr:twoCellAnchor>
    <xdr:from>
      <xdr:col>16</xdr:col>
      <xdr:colOff>312420</xdr:colOff>
      <xdr:row>4</xdr:row>
      <xdr:rowOff>175260</xdr:rowOff>
    </xdr:from>
    <xdr:to>
      <xdr:col>19</xdr:col>
      <xdr:colOff>388620</xdr:colOff>
      <xdr:row>7</xdr:row>
      <xdr:rowOff>91440</xdr:rowOff>
    </xdr:to>
    <xdr:sp macro="" textlink="'PIVOT TABLES'!H13">
      <xdr:nvSpPr>
        <xdr:cNvPr id="16" name="Rectangle: Rounded Corners 15">
          <a:extLst>
            <a:ext uri="{FF2B5EF4-FFF2-40B4-BE49-F238E27FC236}">
              <a16:creationId xmlns:a16="http://schemas.microsoft.com/office/drawing/2014/main" id="{9AE1C11C-2BE5-4E51-BC8F-FF63D86F1206}"/>
            </a:ext>
          </a:extLst>
        </xdr:cNvPr>
        <xdr:cNvSpPr/>
      </xdr:nvSpPr>
      <xdr:spPr>
        <a:xfrm>
          <a:off x="10066020" y="906780"/>
          <a:ext cx="1905000" cy="464820"/>
        </a:xfrm>
        <a:prstGeom prst="roundRect">
          <a:avLst/>
        </a:prstGeom>
        <a:solidFill>
          <a:srgbClr val="161B22"/>
        </a:solidFill>
        <a:ln w="31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942C85-7FCA-4540-B1B8-FA2B4F55808E}" type="TxLink">
            <a:rPr lang="en-US" sz="1800" b="0" i="0" u="none" strike="noStrike">
              <a:solidFill>
                <a:schemeClr val="bg1">
                  <a:lumMod val="95000"/>
                </a:schemeClr>
              </a:solidFill>
              <a:latin typeface="Arial"/>
              <a:cs typeface="Arial"/>
            </a:rPr>
            <a:pPr algn="ctr"/>
            <a:t>$7.63 </a:t>
          </a:fld>
          <a:endParaRPr lang="en-US" sz="1800">
            <a:solidFill>
              <a:schemeClr val="bg1">
                <a:lumMod val="95000"/>
              </a:schemeClr>
            </a:solidFill>
          </a:endParaRPr>
        </a:p>
      </xdr:txBody>
    </xdr:sp>
    <xdr:clientData/>
  </xdr:twoCellAnchor>
  <xdr:twoCellAnchor>
    <xdr:from>
      <xdr:col>0</xdr:col>
      <xdr:colOff>0</xdr:colOff>
      <xdr:row>7</xdr:row>
      <xdr:rowOff>152400</xdr:rowOff>
    </xdr:from>
    <xdr:to>
      <xdr:col>10</xdr:col>
      <xdr:colOff>281940</xdr:colOff>
      <xdr:row>17</xdr:row>
      <xdr:rowOff>60960</xdr:rowOff>
    </xdr:to>
    <xdr:graphicFrame macro="">
      <xdr:nvGraphicFramePr>
        <xdr:cNvPr id="17" name="Chart 16">
          <a:extLst>
            <a:ext uri="{FF2B5EF4-FFF2-40B4-BE49-F238E27FC236}">
              <a16:creationId xmlns:a16="http://schemas.microsoft.com/office/drawing/2014/main" id="{07FE6090-D07C-4B4D-9C8B-BFBCE03CE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297180</xdr:colOff>
      <xdr:row>7</xdr:row>
      <xdr:rowOff>152400</xdr:rowOff>
    </xdr:from>
    <xdr:to>
      <xdr:col>17</xdr:col>
      <xdr:colOff>601980</xdr:colOff>
      <xdr:row>17</xdr:row>
      <xdr:rowOff>45720</xdr:rowOff>
    </xdr:to>
    <xdr:graphicFrame macro="">
      <xdr:nvGraphicFramePr>
        <xdr:cNvPr id="18" name="Chart 17">
          <a:extLst>
            <a:ext uri="{FF2B5EF4-FFF2-40B4-BE49-F238E27FC236}">
              <a16:creationId xmlns:a16="http://schemas.microsoft.com/office/drawing/2014/main" id="{B8445326-E17D-462B-9FDB-9EBCDDD7B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17</xdr:row>
      <xdr:rowOff>76200</xdr:rowOff>
    </xdr:from>
    <xdr:to>
      <xdr:col>12</xdr:col>
      <xdr:colOff>350520</xdr:colOff>
      <xdr:row>27</xdr:row>
      <xdr:rowOff>68580</xdr:rowOff>
    </xdr:to>
    <xdr:graphicFrame macro="">
      <xdr:nvGraphicFramePr>
        <xdr:cNvPr id="19" name="Chart 18">
          <a:extLst>
            <a:ext uri="{FF2B5EF4-FFF2-40B4-BE49-F238E27FC236}">
              <a16:creationId xmlns:a16="http://schemas.microsoft.com/office/drawing/2014/main" id="{733F6124-E655-4DC7-AF8B-FC3AC9F01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388620</xdr:colOff>
      <xdr:row>17</xdr:row>
      <xdr:rowOff>83820</xdr:rowOff>
    </xdr:from>
    <xdr:to>
      <xdr:col>23</xdr:col>
      <xdr:colOff>60960</xdr:colOff>
      <xdr:row>27</xdr:row>
      <xdr:rowOff>76200</xdr:rowOff>
    </xdr:to>
    <xdr:graphicFrame macro="">
      <xdr:nvGraphicFramePr>
        <xdr:cNvPr id="20" name="Chart 19">
          <a:extLst>
            <a:ext uri="{FF2B5EF4-FFF2-40B4-BE49-F238E27FC236}">
              <a16:creationId xmlns:a16="http://schemas.microsoft.com/office/drawing/2014/main" id="{8F2715EE-F231-4D96-B0E2-06D9C52A5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0</xdr:row>
      <xdr:rowOff>30480</xdr:rowOff>
    </xdr:from>
    <xdr:to>
      <xdr:col>23</xdr:col>
      <xdr:colOff>45720</xdr:colOff>
      <xdr:row>2</xdr:row>
      <xdr:rowOff>60960</xdr:rowOff>
    </xdr:to>
    <xdr:sp macro="" textlink="">
      <xdr:nvSpPr>
        <xdr:cNvPr id="21" name="TextBox 20">
          <a:extLst>
            <a:ext uri="{FF2B5EF4-FFF2-40B4-BE49-F238E27FC236}">
              <a16:creationId xmlns:a16="http://schemas.microsoft.com/office/drawing/2014/main" id="{9C390A5B-55C1-4B98-BD39-E3BAD815B824}"/>
            </a:ext>
          </a:extLst>
        </xdr:cNvPr>
        <xdr:cNvSpPr txBox="1"/>
      </xdr:nvSpPr>
      <xdr:spPr>
        <a:xfrm>
          <a:off x="53340" y="30480"/>
          <a:ext cx="14013180" cy="396240"/>
        </a:xfrm>
        <a:prstGeom prst="rect">
          <a:avLst/>
        </a:prstGeom>
        <a:solidFill>
          <a:srgbClr val="0D111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FF0000"/>
              </a:solidFill>
            </a:rPr>
            <a:t>  </a:t>
          </a:r>
          <a:r>
            <a:rPr lang="en-US" sz="1800">
              <a:solidFill>
                <a:srgbClr val="58A6FF"/>
              </a:solidFill>
            </a:rPr>
            <a:t>DIGITAL MARKETING PERFORMANCE DASHBOARD</a:t>
          </a:r>
        </a:p>
      </xdr:txBody>
    </xdr:sp>
    <xdr:clientData/>
  </xdr:twoCellAnchor>
  <xdr:twoCellAnchor editAs="oneCell">
    <xdr:from>
      <xdr:col>7</xdr:col>
      <xdr:colOff>7620</xdr:colOff>
      <xdr:row>0</xdr:row>
      <xdr:rowOff>0</xdr:rowOff>
    </xdr:from>
    <xdr:to>
      <xdr:col>7</xdr:col>
      <xdr:colOff>449580</xdr:colOff>
      <xdr:row>2</xdr:row>
      <xdr:rowOff>103149</xdr:rowOff>
    </xdr:to>
    <xdr:pic>
      <xdr:nvPicPr>
        <xdr:cNvPr id="22" name="Graphic 21" descr="Marketing with solid fill">
          <a:extLst>
            <a:ext uri="{FF2B5EF4-FFF2-40B4-BE49-F238E27FC236}">
              <a16:creationId xmlns:a16="http://schemas.microsoft.com/office/drawing/2014/main" id="{52A2AFCF-076C-4C9B-A5DB-A8AB6CE49E1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74820" y="0"/>
          <a:ext cx="441960" cy="468909"/>
        </a:xfrm>
        <a:prstGeom prst="rect">
          <a:avLst/>
        </a:prstGeom>
      </xdr:spPr>
    </xdr:pic>
    <xdr:clientData/>
  </xdr:twoCellAnchor>
  <xdr:twoCellAnchor editAs="oneCell">
    <xdr:from>
      <xdr:col>18</xdr:col>
      <xdr:colOff>22860</xdr:colOff>
      <xdr:row>7</xdr:row>
      <xdr:rowOff>152401</xdr:rowOff>
    </xdr:from>
    <xdr:to>
      <xdr:col>21</xdr:col>
      <xdr:colOff>22860</xdr:colOff>
      <xdr:row>17</xdr:row>
      <xdr:rowOff>53340</xdr:rowOff>
    </xdr:to>
    <mc:AlternateContent xmlns:mc="http://schemas.openxmlformats.org/markup-compatibility/2006" xmlns:a14="http://schemas.microsoft.com/office/drawing/2010/main">
      <mc:Choice Requires="a14">
        <xdr:graphicFrame macro="">
          <xdr:nvGraphicFramePr>
            <xdr:cNvPr id="23" name="Platform 1">
              <a:extLst>
                <a:ext uri="{FF2B5EF4-FFF2-40B4-BE49-F238E27FC236}">
                  <a16:creationId xmlns:a16="http://schemas.microsoft.com/office/drawing/2014/main" id="{C5A625BE-DC9D-4A7F-BE3F-108EC11D2C0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995660" y="1432561"/>
              <a:ext cx="182880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xdr:colOff>
      <xdr:row>7</xdr:row>
      <xdr:rowOff>152400</xdr:rowOff>
    </xdr:from>
    <xdr:to>
      <xdr:col>23</xdr:col>
      <xdr:colOff>76200</xdr:colOff>
      <xdr:row>17</xdr:row>
      <xdr:rowOff>53340</xdr:rowOff>
    </xdr:to>
    <mc:AlternateContent xmlns:mc="http://schemas.openxmlformats.org/markup-compatibility/2006" xmlns:a14="http://schemas.microsoft.com/office/drawing/2010/main">
      <mc:Choice Requires="a14">
        <xdr:graphicFrame macro="">
          <xdr:nvGraphicFramePr>
            <xdr:cNvPr id="24" name="Quarter 1">
              <a:extLst>
                <a:ext uri="{FF2B5EF4-FFF2-40B4-BE49-F238E27FC236}">
                  <a16:creationId xmlns:a16="http://schemas.microsoft.com/office/drawing/2014/main" id="{DE7B33F2-F515-41AE-949E-03D6F37EF211}"/>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839700" y="1432560"/>
              <a:ext cx="12573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17</xdr:row>
      <xdr:rowOff>91440</xdr:rowOff>
    </xdr:from>
    <xdr:to>
      <xdr:col>4</xdr:col>
      <xdr:colOff>601980</xdr:colOff>
      <xdr:row>27</xdr:row>
      <xdr:rowOff>76200</xdr:rowOff>
    </xdr:to>
    <xdr:graphicFrame macro="">
      <xdr:nvGraphicFramePr>
        <xdr:cNvPr id="26" name="Chart 25">
          <a:extLst>
            <a:ext uri="{FF2B5EF4-FFF2-40B4-BE49-F238E27FC236}">
              <a16:creationId xmlns:a16="http://schemas.microsoft.com/office/drawing/2014/main" id="{CA132135-5AA3-455F-B678-27533999B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ya pasi" refreshedDate="46099.557880208333" createdVersion="8" refreshedVersion="8" minRefreshableVersion="3" recordCount="1000" xr:uid="{9F79B7DA-D621-4EC6-B4D7-C78D6AF1B423}">
  <cacheSource type="worksheet">
    <worksheetSource name="Table1"/>
  </cacheSource>
  <cacheFields count="20">
    <cacheField name="Row ID" numFmtId="1">
      <sharedItems containsSemiMixedTypes="0" containsString="0" containsNumber="1" containsInteger="1" minValue="1" maxValue="1000"/>
    </cacheField>
    <cacheField name="Campaign Name" numFmtId="2">
      <sharedItems/>
    </cacheField>
    <cacheField name="Platform" numFmtId="2">
      <sharedItems count="3">
        <s v="Display Ads"/>
        <s v="Google Ads"/>
        <s v="Facebook Ads"/>
      </sharedItems>
    </cacheField>
    <cacheField name="Objective" numFmtId="2">
      <sharedItems/>
    </cacheField>
    <cacheField name="Region" numFmtId="2">
      <sharedItems/>
    </cacheField>
    <cacheField name="Device" numFmtId="2">
      <sharedItems/>
    </cacheField>
    <cacheField name="Age Band" numFmtId="2">
      <sharedItems/>
    </cacheField>
    <cacheField name="Month" numFmtId="2">
      <sharedItems count="12">
        <s v="Mar"/>
        <s v="Jul"/>
        <s v="Jun"/>
        <s v="Nov"/>
        <s v="Aug"/>
        <s v="May"/>
        <s v="Dec"/>
        <s v="Feb"/>
        <s v="Jan"/>
        <s v="Oct"/>
        <s v="Sep"/>
        <s v="Apr"/>
      </sharedItems>
    </cacheField>
    <cacheField name="Quarter" numFmtId="2">
      <sharedItems count="4">
        <s v="Q1"/>
        <s v="Q3"/>
        <s v="Q2"/>
        <s v="Q4"/>
      </sharedItems>
    </cacheField>
    <cacheField name="Year" numFmtId="1">
      <sharedItems containsSemiMixedTypes="0" containsString="0" containsNumber="1" containsInteger="1" minValue="2023" maxValue="2024"/>
    </cacheField>
    <cacheField name="Budget ($)" numFmtId="2">
      <sharedItems containsSemiMixedTypes="0" containsString="0" containsNumber="1" minValue="500.7" maxValue="19991.66"/>
    </cacheField>
    <cacheField name="Impressions" numFmtId="2">
      <sharedItems containsSemiMixedTypes="0" containsString="0" containsNumber="1" containsInteger="1" minValue="7260" maxValue="799617"/>
    </cacheField>
    <cacheField name="Clicks" numFmtId="2">
      <sharedItems containsSemiMixedTypes="0" containsString="0" containsNumber="1" containsInteger="1" minValue="12" maxValue="28090"/>
    </cacheField>
    <cacheField name="Conversions" numFmtId="2">
      <sharedItems containsSemiMixedTypes="0" containsString="0" containsNumber="1" containsInteger="1" minValue="0" maxValue="3235"/>
    </cacheField>
    <cacheField name="Spend ($)" numFmtId="2">
      <sharedItems containsSemiMixedTypes="0" containsString="0" containsNumber="1" minValue="322.20999999999998" maxValue="20167.3"/>
    </cacheField>
    <cacheField name="CTR (%)" numFmtId="2">
      <sharedItems containsSemiMixedTypes="0" containsString="0" containsNumber="1" minValue="4.8021129296890633E-2" maxValue="4.4437236457995457"/>
    </cacheField>
    <cacheField name="CPC ($)" numFmtId="2">
      <sharedItems containsSemiMixedTypes="0" containsString="0" containsNumber="1" minValue="2.3232563256325636E-2" maxValue="824.05416666666667"/>
    </cacheField>
    <cacheField name="CPA ($)" numFmtId="2">
      <sharedItems containsMixedTypes="1" containsNumber="1" minValue="0.2234278459585273" maxValue="16275.14"/>
    </cacheField>
    <cacheField name="ROAS" numFmtId="2">
      <sharedItems containsSemiMixedTypes="0" containsString="0" containsNumber="1" minValue="0.98041043117408044" maxValue="1.6665599606489028"/>
    </cacheField>
    <cacheField name="Efficiency Score" numFmtId="2">
      <sharedItems/>
    </cacheField>
  </cacheFields>
  <extLst>
    <ext xmlns:x14="http://schemas.microsoft.com/office/spreadsheetml/2009/9/main" uri="{725AE2AE-9491-48be-B2B4-4EB974FC3084}">
      <x14:pivotCacheDefinition pivotCacheId="740235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Di_Rich_Media_2023"/>
    <x v="0"/>
    <s v="Brand Awareness"/>
    <s v="East"/>
    <s v="Desktop"/>
    <s v="25-34"/>
    <x v="0"/>
    <x v="0"/>
    <n v="2023"/>
    <n v="13695.64"/>
    <n v="576858"/>
    <n v="6618"/>
    <n v="36"/>
    <n v="9475.0300000000007"/>
    <n v="1.1472494097334178"/>
    <n v="1.4317059534602601"/>
    <n v="263.19527777777779"/>
    <n v="1.4454455553175027"/>
    <s v="🔴 Low"/>
  </r>
  <r>
    <n v="2"/>
    <s v="Di_Banner_Standard_2023"/>
    <x v="0"/>
    <s v="Traffic"/>
    <s v="South"/>
    <s v="Tablet"/>
    <s v="55+"/>
    <x v="1"/>
    <x v="1"/>
    <n v="2023"/>
    <n v="9259.58"/>
    <n v="296704"/>
    <n v="2883"/>
    <n v="98"/>
    <n v="5581.02"/>
    <n v="0.9716754745470233"/>
    <n v="1.9358376690946932"/>
    <n v="56.949183673469392"/>
    <n v="1.6591196591304098"/>
    <s v="🔴 Low"/>
  </r>
  <r>
    <n v="3"/>
    <s v="Go_Smart_Campaign_2023"/>
    <x v="1"/>
    <s v="Conversions"/>
    <s v="East"/>
    <s v="Desktop"/>
    <s v="25-34"/>
    <x v="2"/>
    <x v="2"/>
    <n v="2023"/>
    <n v="2308.54"/>
    <n v="106414"/>
    <n v="2670"/>
    <n v="182"/>
    <n v="1427.25"/>
    <n v="2.5090683556674871"/>
    <n v="0.53455056179775284"/>
    <n v="7.8420329670329672"/>
    <n v="1.6174741636013312"/>
    <s v="🟡 Mid"/>
  </r>
  <r>
    <n v="4"/>
    <s v="Fa_Feed_Video_2024"/>
    <x v="2"/>
    <s v="Retargeting"/>
    <s v="North"/>
    <s v="Tablet"/>
    <s v="35-44"/>
    <x v="3"/>
    <x v="3"/>
    <n v="2024"/>
    <n v="11758.37"/>
    <n v="743797"/>
    <n v="14545"/>
    <n v="953"/>
    <n v="10320.68"/>
    <n v="1.9555066772251031"/>
    <n v="0.70956892402887595"/>
    <n v="10.829674711437566"/>
    <n v="1.1393018677063915"/>
    <s v="🟡 Mid"/>
  </r>
  <r>
    <n v="5"/>
    <s v="Fa_Feed_Video_2024"/>
    <x v="2"/>
    <s v="Lead Generation"/>
    <s v="North"/>
    <s v="Mobile"/>
    <s v="35-44"/>
    <x v="4"/>
    <x v="1"/>
    <n v="2024"/>
    <n v="3671.75"/>
    <n v="377528"/>
    <n v="6414"/>
    <n v="617"/>
    <n v="3202.41"/>
    <n v="1.6989468330825794"/>
    <n v="0.49928437792329278"/>
    <n v="5.1902917341977304"/>
    <n v="1.1465583732251647"/>
    <s v="🟡 Mid"/>
  </r>
  <r>
    <n v="6"/>
    <s v="Di_Native_2024"/>
    <x v="0"/>
    <s v="Traffic"/>
    <s v="South"/>
    <s v="Desktop"/>
    <s v="45-54"/>
    <x v="1"/>
    <x v="1"/>
    <n v="2024"/>
    <n v="19795.71"/>
    <n v="676088"/>
    <n v="7311"/>
    <n v="224"/>
    <n v="13703.35"/>
    <n v="1.081368105927039"/>
    <n v="1.874346874572562"/>
    <n v="61.175669642857144"/>
    <n v="1.4445890968266883"/>
    <s v="🔴 Low"/>
  </r>
  <r>
    <n v="7"/>
    <s v="Fa_Feed_Image_2023"/>
    <x v="2"/>
    <s v="Lead Generation"/>
    <s v="North"/>
    <s v="Mobile"/>
    <s v="45-54"/>
    <x v="5"/>
    <x v="2"/>
    <n v="2023"/>
    <n v="4614.17"/>
    <n v="599731"/>
    <n v="11454"/>
    <n v="908"/>
    <n v="3535.22"/>
    <n v="1.9098562522197451"/>
    <n v="0.30864501484197659"/>
    <n v="3.8934140969162994"/>
    <n v="1.3052002421348601"/>
    <s v="🟡 Mid"/>
  </r>
  <r>
    <n v="8"/>
    <s v="Di_Responsive_2024"/>
    <x v="0"/>
    <s v="Lead Generation"/>
    <s v="East"/>
    <s v="Desktop"/>
    <s v="25-34"/>
    <x v="6"/>
    <x v="3"/>
    <n v="2024"/>
    <n v="15066.77"/>
    <n v="454245"/>
    <n v="1795"/>
    <n v="168"/>
    <n v="11567.49"/>
    <n v="0.39516120155422735"/>
    <n v="6.4442841225626744"/>
    <n v="68.854107142857146"/>
    <n v="1.302509878979796"/>
    <s v="🔴 Low"/>
  </r>
  <r>
    <n v="9"/>
    <s v="Go_Shopping_2023"/>
    <x v="1"/>
    <s v="Traffic"/>
    <s v="West"/>
    <s v="Desktop"/>
    <s v="18-24"/>
    <x v="7"/>
    <x v="0"/>
    <n v="2023"/>
    <n v="12735.2"/>
    <n v="718536"/>
    <n v="18969"/>
    <n v="406"/>
    <n v="12969.16"/>
    <n v="2.639951234176158"/>
    <n v="0.68370288365227472"/>
    <n v="31.943743842364533"/>
    <n v="0.98196028115930412"/>
    <s v="🟡 Mid"/>
  </r>
  <r>
    <n v="10"/>
    <s v="Di_Programmatic_2024"/>
    <x v="0"/>
    <s v="Traffic"/>
    <s v="North"/>
    <s v="Tablet"/>
    <s v="18-24"/>
    <x v="3"/>
    <x v="3"/>
    <n v="2024"/>
    <n v="15487.68"/>
    <n v="361699"/>
    <n v="2839"/>
    <n v="37"/>
    <n v="12120.68"/>
    <n v="0.78490678713515927"/>
    <n v="4.2693483620993309"/>
    <n v="327.58594594594598"/>
    <n v="1.2777896949676091"/>
    <s v="🔴 Low"/>
  </r>
  <r>
    <n v="11"/>
    <s v="Fa_Feed_Image_2024"/>
    <x v="2"/>
    <s v="Conversions"/>
    <s v="Central"/>
    <s v="Desktop"/>
    <s v="55+"/>
    <x v="7"/>
    <x v="0"/>
    <n v="2024"/>
    <n v="16912.55"/>
    <n v="537323"/>
    <n v="7398"/>
    <n v="764"/>
    <n v="13978.89"/>
    <n v="1.3768254848573391"/>
    <n v="1.8895498783454987"/>
    <n v="18.296976439790576"/>
    <n v="1.2098635871660768"/>
    <s v="🔴 Low"/>
  </r>
  <r>
    <n v="12"/>
    <s v="Di_Banner_Standard_2024"/>
    <x v="0"/>
    <s v="Traffic"/>
    <s v="East"/>
    <s v="Mobile"/>
    <s v="18-24"/>
    <x v="7"/>
    <x v="0"/>
    <n v="2024"/>
    <n v="17635.080000000002"/>
    <n v="327451"/>
    <n v="1695"/>
    <n v="29"/>
    <n v="12365.12"/>
    <n v="0.51763469954283237"/>
    <n v="7.2950560471976402"/>
    <n v="426.38344827586212"/>
    <n v="1.4261956212313347"/>
    <s v="🔴 Low"/>
  </r>
  <r>
    <n v="13"/>
    <s v="Di_Rich_Media_2023"/>
    <x v="0"/>
    <s v="Brand Awareness"/>
    <s v="West"/>
    <s v="Desktop"/>
    <s v="55+"/>
    <x v="0"/>
    <x v="0"/>
    <n v="2023"/>
    <n v="13365.14"/>
    <n v="581510"/>
    <n v="5880"/>
    <n v="82"/>
    <n v="13432.4"/>
    <n v="1.0111605991298516"/>
    <n v="2.284421768707483"/>
    <n v="163.80975609756098"/>
    <n v="0.99499270420773656"/>
    <s v="🔴 Low"/>
  </r>
  <r>
    <n v="14"/>
    <s v="Di_Interstitial_2024"/>
    <x v="0"/>
    <s v="Conversions"/>
    <s v="West"/>
    <s v="Tablet"/>
    <s v="35-44"/>
    <x v="4"/>
    <x v="1"/>
    <n v="2024"/>
    <n v="2859.58"/>
    <n v="240612"/>
    <n v="2953"/>
    <n v="160"/>
    <n v="1741.01"/>
    <n v="1.2272870846009343"/>
    <n v="0.58957331527260415"/>
    <n v="10.8813125"/>
    <n v="1.6424833860804935"/>
    <s v="🔴 Low"/>
  </r>
  <r>
    <n v="15"/>
    <s v="Di_Interstitial_2023"/>
    <x v="0"/>
    <s v="Traffic"/>
    <s v="South"/>
    <s v="Desktop"/>
    <s v="18-24"/>
    <x v="6"/>
    <x v="3"/>
    <n v="2023"/>
    <n v="4964.3599999999997"/>
    <n v="37938"/>
    <n v="311"/>
    <n v="5"/>
    <n v="4373.46"/>
    <n v="0.81975855342927939"/>
    <n v="14.062572347266881"/>
    <n v="874.69200000000001"/>
    <n v="1.1351104160092924"/>
    <s v="🔴 Low"/>
  </r>
  <r>
    <n v="16"/>
    <s v="Go_Shopping_2024"/>
    <x v="1"/>
    <s v="Traffic"/>
    <s v="Central"/>
    <s v="Mobile"/>
    <s v="25-34"/>
    <x v="4"/>
    <x v="1"/>
    <n v="2024"/>
    <n v="4212.99"/>
    <n v="106639"/>
    <n v="2828"/>
    <n v="84"/>
    <n v="3154.71"/>
    <n v="2.6519378463789045"/>
    <n v="1.1155268741159829"/>
    <n v="37.556071428571428"/>
    <n v="1.335460311724374"/>
    <s v="🟡 Mid"/>
  </r>
  <r>
    <n v="17"/>
    <s v="Fa_Instant_Experience_2024"/>
    <x v="2"/>
    <s v="Brand Awareness"/>
    <s v="North"/>
    <s v="Desktop"/>
    <s v="45-54"/>
    <x v="6"/>
    <x v="3"/>
    <n v="2024"/>
    <n v="16111.55"/>
    <n v="119576"/>
    <n v="1916"/>
    <n v="22"/>
    <n v="12521.74"/>
    <n v="1.6023282263999465"/>
    <n v="6.5353549060542795"/>
    <n v="569.16999999999996"/>
    <n v="1.2866861953690141"/>
    <s v="🟡 Mid"/>
  </r>
  <r>
    <n v="18"/>
    <s v="Fa_Instant_Experience_2023"/>
    <x v="2"/>
    <s v="Lead Generation"/>
    <s v="North"/>
    <s v="Mobile"/>
    <s v="55+"/>
    <x v="7"/>
    <x v="0"/>
    <n v="2023"/>
    <n v="13216.83"/>
    <n v="571847"/>
    <n v="11006"/>
    <n v="992"/>
    <n v="13309.06"/>
    <n v="1.9246406818607076"/>
    <n v="1.2092549518444484"/>
    <n v="13.416391129032258"/>
    <n v="0.99307013417927337"/>
    <s v="🟡 Mid"/>
  </r>
  <r>
    <n v="19"/>
    <s v="Go_Shopping_2023"/>
    <x v="1"/>
    <s v="Retargeting"/>
    <s v="West"/>
    <s v="Mobile"/>
    <s v="25-34"/>
    <x v="1"/>
    <x v="1"/>
    <n v="2023"/>
    <n v="3710.42"/>
    <n v="7260"/>
    <n v="231"/>
    <n v="28"/>
    <n v="2935.33"/>
    <n v="3.1818181818181817"/>
    <n v="12.707056277056276"/>
    <n v="104.83321428571428"/>
    <n v="1.2640554895020322"/>
    <s v="🟢 High"/>
  </r>
  <r>
    <n v="20"/>
    <s v="Fa_Instant_Experience_2023"/>
    <x v="2"/>
    <s v="Lead Generation"/>
    <s v="South"/>
    <s v="Mobile"/>
    <s v="25-34"/>
    <x v="8"/>
    <x v="0"/>
    <n v="2023"/>
    <n v="15085.52"/>
    <n v="64942"/>
    <n v="1015"/>
    <n v="43"/>
    <n v="12072.21"/>
    <n v="1.5629330787471898"/>
    <n v="11.893802955665024"/>
    <n v="280.74906976744182"/>
    <n v="1.2496071556077968"/>
    <s v="🟡 Mid"/>
  </r>
  <r>
    <n v="21"/>
    <s v="Di_Native_2023"/>
    <x v="0"/>
    <s v="Brand Awareness"/>
    <s v="Central"/>
    <s v="Desktop"/>
    <s v="25-34"/>
    <x v="7"/>
    <x v="0"/>
    <n v="2023"/>
    <n v="13666.64"/>
    <n v="251629"/>
    <n v="125"/>
    <n v="1"/>
    <n v="11522.97"/>
    <n v="4.967630916945185E-2"/>
    <n v="92.183759999999992"/>
    <n v="11522.97"/>
    <n v="1.1860345032574067"/>
    <s v="🔴 Low"/>
  </r>
  <r>
    <n v="22"/>
    <s v="Go_Search_Generic_2024"/>
    <x v="1"/>
    <s v="Retargeting"/>
    <s v="Central"/>
    <s v="Tablet"/>
    <s v="55+"/>
    <x v="2"/>
    <x v="2"/>
    <n v="2024"/>
    <n v="4483.05"/>
    <n v="755981"/>
    <n v="26288"/>
    <n v="2238"/>
    <n v="3189.95"/>
    <n v="3.477336070615531"/>
    <n v="0.1213462416311625"/>
    <n v="1.4253574620196603"/>
    <n v="1.4053668552798635"/>
    <s v="🟢 High"/>
  </r>
  <r>
    <n v="23"/>
    <s v="Go_YouTube_PreRoll_2023"/>
    <x v="1"/>
    <s v="Retargeting"/>
    <s v="East"/>
    <s v="Desktop"/>
    <s v="18-24"/>
    <x v="4"/>
    <x v="1"/>
    <n v="2023"/>
    <n v="1928.58"/>
    <n v="228508"/>
    <n v="5789"/>
    <n v="508"/>
    <n v="1212.8699999999999"/>
    <n v="2.5333905158681533"/>
    <n v="0.20951286923475554"/>
    <n v="2.38753937007874"/>
    <n v="1.5900962180612928"/>
    <s v="🟡 Mid"/>
  </r>
  <r>
    <n v="24"/>
    <s v="Go_Search_Competitor_2024"/>
    <x v="1"/>
    <s v="Conversions"/>
    <s v="South"/>
    <s v="Mobile"/>
    <s v="55+"/>
    <x v="6"/>
    <x v="3"/>
    <n v="2024"/>
    <n v="12427.72"/>
    <n v="690743"/>
    <n v="19272"/>
    <n v="1677"/>
    <n v="10942.64"/>
    <n v="2.7900391317754942"/>
    <n v="0.56779991697799914"/>
    <n v="6.5251282051282047"/>
    <n v="1.1357149645789315"/>
    <s v="🟡 Mid"/>
  </r>
  <r>
    <n v="25"/>
    <s v="Di_Programmatic_2023"/>
    <x v="0"/>
    <s v="Brand Awareness"/>
    <s v="South"/>
    <s v="Mobile"/>
    <s v="18-24"/>
    <x v="7"/>
    <x v="0"/>
    <n v="2023"/>
    <n v="5810.79"/>
    <n v="639210"/>
    <n v="5191"/>
    <n v="79"/>
    <n v="5568.03"/>
    <n v="0.81209618122369798"/>
    <n v="1.0726314775573107"/>
    <n v="70.481392405063289"/>
    <n v="1.0435989030231518"/>
    <s v="🔴 Low"/>
  </r>
  <r>
    <n v="26"/>
    <s v="Di_Responsive_2023"/>
    <x v="0"/>
    <s v="Conversions"/>
    <s v="North"/>
    <s v="Desktop"/>
    <s v="45-54"/>
    <x v="5"/>
    <x v="2"/>
    <n v="2023"/>
    <n v="569.14"/>
    <n v="142174"/>
    <n v="1626"/>
    <n v="153"/>
    <n v="404.1"/>
    <n v="1.1436690252788837"/>
    <n v="0.24852398523985242"/>
    <n v="2.6411764705882352"/>
    <n v="1.4084137589705517"/>
    <s v="🔴 Low"/>
  </r>
  <r>
    <n v="27"/>
    <s v="Di_Responsive_2023"/>
    <x v="0"/>
    <s v="Traffic"/>
    <s v="West"/>
    <s v="Tablet"/>
    <s v="18-24"/>
    <x v="7"/>
    <x v="0"/>
    <n v="2023"/>
    <n v="18928.490000000002"/>
    <n v="729586"/>
    <n v="8879"/>
    <n v="311"/>
    <n v="15988.03"/>
    <n v="1.2169915541142511"/>
    <n v="1.8006566054735895"/>
    <n v="51.408456591639876"/>
    <n v="1.1839163424136683"/>
    <s v="🔴 Low"/>
  </r>
  <r>
    <n v="28"/>
    <s v="Go_Smart_Campaign_2024"/>
    <x v="1"/>
    <s v="Lead Generation"/>
    <s v="North"/>
    <s v="Mobile"/>
    <s v="35-44"/>
    <x v="8"/>
    <x v="0"/>
    <n v="2024"/>
    <n v="4596.49"/>
    <n v="266650"/>
    <n v="6515"/>
    <n v="521"/>
    <n v="3440.68"/>
    <n v="2.4432777048565537"/>
    <n v="0.52811665387567153"/>
    <n v="6.6039923224568131"/>
    <n v="1.3359248753153445"/>
    <s v="🟡 Mid"/>
  </r>
  <r>
    <n v="29"/>
    <s v="Di_Video_Display_2024"/>
    <x v="0"/>
    <s v="Traffic"/>
    <s v="South"/>
    <s v="Desktop"/>
    <s v="25-34"/>
    <x v="0"/>
    <x v="0"/>
    <n v="2024"/>
    <n v="983.33"/>
    <n v="777343"/>
    <n v="11479"/>
    <n v="256"/>
    <n v="866.67"/>
    <n v="1.4766969021397247"/>
    <n v="7.5500479135813217E-2"/>
    <n v="3.3854296874999998"/>
    <n v="1.1346071745877901"/>
    <s v="🔴 Low"/>
  </r>
  <r>
    <n v="30"/>
    <s v="Di_Interstitial_2023"/>
    <x v="0"/>
    <s v="Conversions"/>
    <s v="South"/>
    <s v="Tablet"/>
    <s v="18-24"/>
    <x v="1"/>
    <x v="1"/>
    <n v="2023"/>
    <n v="17242.57"/>
    <n v="238238"/>
    <n v="717"/>
    <n v="45"/>
    <n v="16996.86"/>
    <n v="0.30095954465702363"/>
    <n v="23.705523012552302"/>
    <n v="377.70800000000003"/>
    <n v="1.0144561995568593"/>
    <s v="🔴 Low"/>
  </r>
  <r>
    <n v="31"/>
    <s v="Fa_Stories_2024"/>
    <x v="2"/>
    <s v="Lead Generation"/>
    <s v="South"/>
    <s v="Desktop"/>
    <s v="25-34"/>
    <x v="1"/>
    <x v="1"/>
    <n v="2024"/>
    <n v="5932.76"/>
    <n v="77792"/>
    <n v="1552"/>
    <n v="121"/>
    <n v="4555.5600000000004"/>
    <n v="1.9950637597696421"/>
    <n v="2.9352835051546395"/>
    <n v="37.649256198347111"/>
    <n v="1.302311900183512"/>
    <s v="🟡 Mid"/>
  </r>
  <r>
    <n v="32"/>
    <s v="Di_Retargeting_Display_2024"/>
    <x v="0"/>
    <s v="Brand Awareness"/>
    <s v="North"/>
    <s v="Mobile"/>
    <s v="25-34"/>
    <x v="9"/>
    <x v="3"/>
    <n v="2024"/>
    <n v="1246.02"/>
    <n v="630550"/>
    <n v="3887"/>
    <n v="44"/>
    <n v="1128.8800000000001"/>
    <n v="0.61644595987629847"/>
    <n v="0.29042449189606384"/>
    <n v="25.65636363636364"/>
    <n v="1.1037665650910635"/>
    <s v="🔴 Low"/>
  </r>
  <r>
    <n v="33"/>
    <s v="Fa_Messenger_2023"/>
    <x v="2"/>
    <s v="Traffic"/>
    <s v="Central"/>
    <s v="Desktop"/>
    <s v="45-54"/>
    <x v="9"/>
    <x v="3"/>
    <n v="2023"/>
    <n v="5467.09"/>
    <n v="748215"/>
    <n v="7800"/>
    <n v="266"/>
    <n v="4857.3999999999996"/>
    <n v="1.0424811050299714"/>
    <n v="0.62274358974358968"/>
    <n v="18.260902255639095"/>
    <n v="1.1255177667064686"/>
    <s v="🔴 Low"/>
  </r>
  <r>
    <n v="34"/>
    <s v="Di_Interstitial_2024"/>
    <x v="0"/>
    <s v="Conversions"/>
    <s v="West"/>
    <s v="Desktop"/>
    <s v="35-44"/>
    <x v="9"/>
    <x v="3"/>
    <n v="2024"/>
    <n v="13436.06"/>
    <n v="135679"/>
    <n v="1271"/>
    <n v="127"/>
    <n v="9756.4"/>
    <n v="0.9367698759572225"/>
    <n v="7.6761605035405189"/>
    <n v="76.822047244094492"/>
    <n v="1.3771534582427944"/>
    <s v="🔴 Low"/>
  </r>
  <r>
    <n v="35"/>
    <s v="Fa_Messenger_2023"/>
    <x v="2"/>
    <s v="Conversions"/>
    <s v="West"/>
    <s v="Tablet"/>
    <s v="35-44"/>
    <x v="10"/>
    <x v="1"/>
    <n v="2023"/>
    <n v="4240.88"/>
    <n v="702229"/>
    <n v="16150"/>
    <n v="1828"/>
    <n v="3640.86"/>
    <n v="2.2998195745262588"/>
    <n v="0.2254402476780186"/>
    <n v="1.9917177242888404"/>
    <n v="1.1648017226699185"/>
    <s v="🟡 Mid"/>
  </r>
  <r>
    <n v="36"/>
    <s v="Fa_Messenger_2024"/>
    <x v="2"/>
    <s v="Traffic"/>
    <s v="North"/>
    <s v="Mobile"/>
    <s v="35-44"/>
    <x v="11"/>
    <x v="2"/>
    <n v="2024"/>
    <n v="15822.3"/>
    <n v="641130"/>
    <n v="8493"/>
    <n v="251"/>
    <n v="12583.4"/>
    <n v="1.3246923400870338"/>
    <n v="1.4816201577769927"/>
    <n v="50.133067729083663"/>
    <n v="1.2573946628097334"/>
    <s v="🔴 Low"/>
  </r>
  <r>
    <n v="37"/>
    <s v="Fa_Reels_2023"/>
    <x v="2"/>
    <s v="Traffic"/>
    <s v="West"/>
    <s v="Tablet"/>
    <s v="25-34"/>
    <x v="3"/>
    <x v="3"/>
    <n v="2023"/>
    <n v="6033.83"/>
    <n v="701101"/>
    <n v="9092"/>
    <n v="314"/>
    <n v="5523.84"/>
    <n v="1.2968174342926342"/>
    <n v="0.60754949406071268"/>
    <n v="17.591847133757962"/>
    <n v="1.0923252664812884"/>
    <s v="🔴 Low"/>
  </r>
  <r>
    <n v="38"/>
    <s v="Di_Programmatic_2023"/>
    <x v="0"/>
    <s v="Lead Generation"/>
    <s v="South"/>
    <s v="Desktop"/>
    <s v="18-24"/>
    <x v="8"/>
    <x v="0"/>
    <n v="2023"/>
    <n v="19686.75"/>
    <n v="645967"/>
    <n v="2357"/>
    <n v="214"/>
    <n v="12414.23"/>
    <n v="0.36487932046064275"/>
    <n v="5.2669622401357659"/>
    <n v="58.010420560747662"/>
    <n v="1.5858212712347042"/>
    <s v="🔴 Low"/>
  </r>
  <r>
    <n v="39"/>
    <s v="Fa_Reels_2023"/>
    <x v="2"/>
    <s v="Retargeting"/>
    <s v="West"/>
    <s v="Mobile"/>
    <s v="25-34"/>
    <x v="0"/>
    <x v="0"/>
    <n v="2023"/>
    <n v="17906.87"/>
    <n v="116764"/>
    <n v="1941"/>
    <n v="241"/>
    <n v="15977.99"/>
    <n v="1.6623274296872321"/>
    <n v="8.2318341061308598"/>
    <n v="66.298713692946052"/>
    <n v="1.1207210669176786"/>
    <s v="🟡 Mid"/>
  </r>
  <r>
    <n v="40"/>
    <s v="Fa_Feed_Image_2024"/>
    <x v="2"/>
    <s v="Traffic"/>
    <s v="South"/>
    <s v="Desktop"/>
    <s v="45-54"/>
    <x v="0"/>
    <x v="0"/>
    <n v="2024"/>
    <n v="13517.77"/>
    <n v="591075"/>
    <n v="7413"/>
    <n v="206"/>
    <n v="13504.48"/>
    <n v="1.2541555640147191"/>
    <n v="1.8217293943072979"/>
    <n v="65.555728155339807"/>
    <n v="1.0009841178631091"/>
    <s v="🔴 Low"/>
  </r>
  <r>
    <n v="41"/>
    <s v="Fa_Messenger_2024"/>
    <x v="2"/>
    <s v="Traffic"/>
    <s v="West"/>
    <s v="Desktop"/>
    <s v="45-54"/>
    <x v="4"/>
    <x v="1"/>
    <n v="2024"/>
    <n v="15159.65"/>
    <n v="673636"/>
    <n v="9780"/>
    <n v="239"/>
    <n v="10619.08"/>
    <n v="1.4518226460581085"/>
    <n v="1.0857955010224949"/>
    <n v="44.431297071129706"/>
    <n v="1.4275860055673373"/>
    <s v="🔴 Low"/>
  </r>
  <r>
    <n v="42"/>
    <s v="Fa_Feed_Video_2023"/>
    <x v="2"/>
    <s v="Conversions"/>
    <s v="South"/>
    <s v="Mobile"/>
    <s v="35-44"/>
    <x v="2"/>
    <x v="2"/>
    <n v="2023"/>
    <n v="3198.29"/>
    <n v="247495"/>
    <n v="6074"/>
    <n v="466"/>
    <n v="2124.23"/>
    <n v="2.4541909937574498"/>
    <n v="0.34972505762265393"/>
    <n v="4.5584334763948497"/>
    <n v="1.5056232140587413"/>
    <s v="🟡 Mid"/>
  </r>
  <r>
    <n v="43"/>
    <s v="Go_Search_Generic_2024"/>
    <x v="1"/>
    <s v="Retargeting"/>
    <s v="West"/>
    <s v="Mobile"/>
    <s v="55+"/>
    <x v="4"/>
    <x v="1"/>
    <n v="2024"/>
    <n v="1714.18"/>
    <n v="445552"/>
    <n v="9541"/>
    <n v="1294"/>
    <n v="1042.57"/>
    <n v="2.1413886594606244"/>
    <n v="0.10927261293365474"/>
    <n v="0.80569551777434312"/>
    <n v="1.6441869610673625"/>
    <s v="🟡 Mid"/>
  </r>
  <r>
    <n v="44"/>
    <s v="Di_Video_Display_2024"/>
    <x v="0"/>
    <s v="Retargeting"/>
    <s v="North"/>
    <s v="Mobile"/>
    <s v="35-44"/>
    <x v="1"/>
    <x v="1"/>
    <n v="2024"/>
    <n v="10995.3"/>
    <n v="775319"/>
    <n v="9679"/>
    <n v="1003"/>
    <n v="9383.02"/>
    <n v="1.248389372632426"/>
    <n v="0.96942039466887076"/>
    <n v="9.3549551345962119"/>
    <n v="1.1718295388904636"/>
    <s v="🔴 Low"/>
  </r>
  <r>
    <n v="45"/>
    <s v="Go_Discovery_2024"/>
    <x v="1"/>
    <s v="Lead Generation"/>
    <s v="East"/>
    <s v="Mobile"/>
    <s v="45-54"/>
    <x v="8"/>
    <x v="0"/>
    <n v="2024"/>
    <n v="7054.53"/>
    <n v="717131"/>
    <n v="21794"/>
    <n v="1970"/>
    <n v="6957.23"/>
    <n v="3.0390542313747422"/>
    <n v="0.31922685142699825"/>
    <n v="3.5315888324873095"/>
    <n v="1.0139854511062594"/>
    <s v="🟢 High"/>
  </r>
  <r>
    <n v="46"/>
    <s v="Di_Banner_Standard_2024"/>
    <x v="0"/>
    <s v="Retargeting"/>
    <s v="Central"/>
    <s v="Tablet"/>
    <s v="18-24"/>
    <x v="7"/>
    <x v="0"/>
    <n v="2024"/>
    <n v="3146.14"/>
    <n v="489125"/>
    <n v="244"/>
    <n v="18"/>
    <n v="2231.4499999999998"/>
    <n v="4.9884998722208022E-2"/>
    <n v="9.1452868852459002"/>
    <n v="123.96944444444443"/>
    <n v="1.4099083555535639"/>
    <s v="🔴 Low"/>
  </r>
  <r>
    <n v="47"/>
    <s v="Fa_Reels_2024"/>
    <x v="2"/>
    <s v="Retargeting"/>
    <s v="East"/>
    <s v="Mobile"/>
    <s v="45-54"/>
    <x v="5"/>
    <x v="2"/>
    <n v="2024"/>
    <n v="5419.29"/>
    <n v="90884"/>
    <n v="711"/>
    <n v="45"/>
    <n v="5418.24"/>
    <n v="0.78231591919369747"/>
    <n v="7.6205907172995779"/>
    <n v="120.40533333333333"/>
    <n v="1.0001937898653437"/>
    <s v="🔴 Low"/>
  </r>
  <r>
    <n v="48"/>
    <s v="Go_Search_Generic_2023"/>
    <x v="1"/>
    <s v="Brand Awareness"/>
    <s v="North"/>
    <s v="Desktop"/>
    <s v="25-34"/>
    <x v="8"/>
    <x v="0"/>
    <n v="2023"/>
    <n v="5151.63"/>
    <n v="501564"/>
    <n v="14817"/>
    <n v="222"/>
    <n v="4311.2299999999996"/>
    <n v="2.9541593894298632"/>
    <n v="0.29096510764662209"/>
    <n v="19.419954954954953"/>
    <n v="1.1949327686066391"/>
    <s v="🟡 Mid"/>
  </r>
  <r>
    <n v="49"/>
    <s v="Go_Discovery_2023"/>
    <x v="1"/>
    <s v="Conversions"/>
    <s v="East"/>
    <s v="Desktop"/>
    <s v="55+"/>
    <x v="9"/>
    <x v="3"/>
    <n v="2023"/>
    <n v="15666.94"/>
    <n v="176720"/>
    <n v="5360"/>
    <n v="277"/>
    <n v="11452.88"/>
    <n v="3.0330466274332277"/>
    <n v="2.1367313432835817"/>
    <n v="41.34613718411552"/>
    <n v="1.3679476254007727"/>
    <s v="🟢 High"/>
  </r>
  <r>
    <n v="50"/>
    <s v="Di_Video_Display_2023"/>
    <x v="0"/>
    <s v="Retargeting"/>
    <s v="South"/>
    <s v="Desktop"/>
    <s v="55+"/>
    <x v="6"/>
    <x v="3"/>
    <n v="2023"/>
    <n v="2487.08"/>
    <n v="321232"/>
    <n v="2079"/>
    <n v="266"/>
    <n v="2119.42"/>
    <n v="0.64719579618468903"/>
    <n v="1.0194420394420394"/>
    <n v="7.9677443609022562"/>
    <n v="1.1734719876192543"/>
    <s v="🔴 Low"/>
  </r>
  <r>
    <n v="51"/>
    <s v="Go_Search_Brand_2024"/>
    <x v="1"/>
    <s v="Conversions"/>
    <s v="Central"/>
    <s v="Mobile"/>
    <s v="35-44"/>
    <x v="7"/>
    <x v="0"/>
    <n v="2024"/>
    <n v="746.72"/>
    <n v="445463"/>
    <n v="12934"/>
    <n v="1516"/>
    <n v="647.37"/>
    <n v="2.90349591324083"/>
    <n v="5.0051801453533322E-2"/>
    <n v="0.42702506596306067"/>
    <n v="1.1534671053647838"/>
    <s v="🟡 Mid"/>
  </r>
  <r>
    <n v="52"/>
    <s v="Fa_Carousel_2024"/>
    <x v="2"/>
    <s v="Retargeting"/>
    <s v="South"/>
    <s v="Tablet"/>
    <s v="55+"/>
    <x v="3"/>
    <x v="3"/>
    <n v="2024"/>
    <n v="12510.29"/>
    <n v="569315"/>
    <n v="7901"/>
    <n v="963"/>
    <n v="9948.77"/>
    <n v="1.3878081554148407"/>
    <n v="1.2591785849892418"/>
    <n v="10.331017653167187"/>
    <n v="1.2574710240562401"/>
    <s v="🔴 Low"/>
  </r>
  <r>
    <n v="53"/>
    <s v="Di_Programmatic_2023"/>
    <x v="0"/>
    <s v="Conversions"/>
    <s v="South"/>
    <s v="Desktop"/>
    <s v="35-44"/>
    <x v="4"/>
    <x v="1"/>
    <n v="2023"/>
    <n v="15134.29"/>
    <n v="602530"/>
    <n v="1955"/>
    <n v="101"/>
    <n v="14489.57"/>
    <n v="0.32446517185866264"/>
    <n v="7.4115447570332478"/>
    <n v="143.4610891089109"/>
    <n v="1.0444954543164497"/>
    <s v="🔴 Low"/>
  </r>
  <r>
    <n v="54"/>
    <s v="Go_Discovery_2024"/>
    <x v="1"/>
    <s v="Lead Generation"/>
    <s v="East"/>
    <s v="Mobile"/>
    <s v="35-44"/>
    <x v="5"/>
    <x v="2"/>
    <n v="2024"/>
    <n v="11337.93"/>
    <n v="546722"/>
    <n v="13603"/>
    <n v="1317"/>
    <n v="7210.44"/>
    <n v="2.4881018140846716"/>
    <n v="0.53006248621627583"/>
    <n v="5.4748974943052389"/>
    <n v="1.5724324729142745"/>
    <s v="🟡 Mid"/>
  </r>
  <r>
    <n v="55"/>
    <s v="Di_Video_Display_2024"/>
    <x v="0"/>
    <s v="Retargeting"/>
    <s v="Central"/>
    <s v="Desktop"/>
    <s v="45-54"/>
    <x v="3"/>
    <x v="3"/>
    <n v="2024"/>
    <n v="9239.4"/>
    <n v="23080"/>
    <n v="229"/>
    <n v="26"/>
    <n v="6731.89"/>
    <n v="0.99220103986135177"/>
    <n v="29.39689956331878"/>
    <n v="258.91884615384618"/>
    <n v="1.372482319229815"/>
    <s v="🔴 Low"/>
  </r>
  <r>
    <n v="56"/>
    <s v="Di_Retargeting_Display_2024"/>
    <x v="0"/>
    <s v="Retargeting"/>
    <s v="Central"/>
    <s v="Tablet"/>
    <s v="35-44"/>
    <x v="1"/>
    <x v="1"/>
    <n v="2024"/>
    <n v="7360.31"/>
    <n v="480786"/>
    <n v="4304"/>
    <n v="351"/>
    <n v="5193.3599999999997"/>
    <n v="0.89520077539695408"/>
    <n v="1.2066356877323419"/>
    <n v="14.795897435897436"/>
    <n v="1.4172539550502952"/>
    <s v="🔴 Low"/>
  </r>
  <r>
    <n v="57"/>
    <s v="Go_PMax_2023"/>
    <x v="1"/>
    <s v="Conversions"/>
    <s v="North"/>
    <s v="Tablet"/>
    <s v="55+"/>
    <x v="6"/>
    <x v="3"/>
    <n v="2023"/>
    <n v="4235.05"/>
    <n v="779483"/>
    <n v="15597"/>
    <n v="1846"/>
    <n v="3474.21"/>
    <n v="2.0009416497858195"/>
    <n v="0.22274860550105791"/>
    <n v="1.8820205850487541"/>
    <n v="1.2189965488557111"/>
    <s v="🟡 Mid"/>
  </r>
  <r>
    <n v="58"/>
    <s v="Fa_Feed_Video_2024"/>
    <x v="2"/>
    <s v="Lead Generation"/>
    <s v="East"/>
    <s v="Desktop"/>
    <s v="35-44"/>
    <x v="0"/>
    <x v="0"/>
    <n v="2024"/>
    <n v="775.89"/>
    <n v="565081"/>
    <n v="9491"/>
    <n v="451"/>
    <n v="480.37"/>
    <n v="1.6795822191862759"/>
    <n v="5.0613212517121482E-2"/>
    <n v="1.0651219512195123"/>
    <n v="1.615192455815309"/>
    <s v="🟡 Mid"/>
  </r>
  <r>
    <n v="59"/>
    <s v="Go_YouTube_PreRoll_2024"/>
    <x v="1"/>
    <s v="Lead Generation"/>
    <s v="West"/>
    <s v="Desktop"/>
    <s v="18-24"/>
    <x v="9"/>
    <x v="3"/>
    <n v="2024"/>
    <n v="9653.24"/>
    <n v="466865"/>
    <n v="9803"/>
    <n v="540"/>
    <n v="9285.68"/>
    <n v="2.0997504631959987"/>
    <n v="0.94722839946955018"/>
    <n v="17.195703703703703"/>
    <n v="1.0395835307699597"/>
    <s v="🟡 Mid"/>
  </r>
  <r>
    <n v="60"/>
    <s v="Go_Search_Generic_2023"/>
    <x v="1"/>
    <s v="Retargeting"/>
    <s v="West"/>
    <s v="Desktop"/>
    <s v="55+"/>
    <x v="3"/>
    <x v="3"/>
    <n v="2023"/>
    <n v="3458.68"/>
    <n v="595180"/>
    <n v="23166"/>
    <n v="3148"/>
    <n v="2198.9499999999998"/>
    <n v="3.8922678853456101"/>
    <n v="9.4921436588103245E-2"/>
    <n v="0.69852287166454885"/>
    <n v="1.5728779644830488"/>
    <s v="🟢 High"/>
  </r>
  <r>
    <n v="61"/>
    <s v="Go_Search_Generic_2023"/>
    <x v="1"/>
    <s v="Traffic"/>
    <s v="West"/>
    <s v="Tablet"/>
    <s v="55+"/>
    <x v="9"/>
    <x v="3"/>
    <n v="2023"/>
    <n v="15626.02"/>
    <n v="403855"/>
    <n v="9229"/>
    <n v="330"/>
    <n v="15873.12"/>
    <n v="2.2852261331418453"/>
    <n v="1.719917650883086"/>
    <n v="48.100363636363639"/>
    <n v="0.98443280212081807"/>
    <s v="🟡 Mid"/>
  </r>
  <r>
    <n v="62"/>
    <s v="Fa_Feed_Image_2023"/>
    <x v="2"/>
    <s v="Traffic"/>
    <s v="North"/>
    <s v="Desktop"/>
    <s v="25-34"/>
    <x v="5"/>
    <x v="2"/>
    <n v="2023"/>
    <n v="3562.61"/>
    <n v="187256"/>
    <n v="3305"/>
    <n v="87"/>
    <n v="2371.79"/>
    <n v="1.7649634724655017"/>
    <n v="0.71763691376701966"/>
    <n v="27.261954022988505"/>
    <n v="1.5020764907517108"/>
    <s v="🟡 Mid"/>
  </r>
  <r>
    <n v="63"/>
    <s v="Fa_Instant_Experience_2024"/>
    <x v="2"/>
    <s v="Traffic"/>
    <s v="West"/>
    <s v="Mobile"/>
    <s v="18-24"/>
    <x v="11"/>
    <x v="2"/>
    <n v="2024"/>
    <n v="14285.64"/>
    <n v="742135"/>
    <n v="12780"/>
    <n v="217"/>
    <n v="10158.700000000001"/>
    <n v="1.7220586550964447"/>
    <n v="0.79489045383411583"/>
    <n v="46.814285714285717"/>
    <n v="1.4062468622953723"/>
    <s v="🟡 Mid"/>
  </r>
  <r>
    <n v="64"/>
    <s v="Di_Interstitial_2023"/>
    <x v="0"/>
    <s v="Retargeting"/>
    <s v="North"/>
    <s v="Tablet"/>
    <s v="25-34"/>
    <x v="3"/>
    <x v="3"/>
    <n v="2023"/>
    <n v="18214.02"/>
    <n v="154145"/>
    <n v="850"/>
    <n v="55"/>
    <n v="12197.7"/>
    <n v="0.5514288494599241"/>
    <n v="14.350235294117647"/>
    <n v="221.77636363636364"/>
    <n v="1.4932339703386703"/>
    <s v="🔴 Low"/>
  </r>
  <r>
    <n v="65"/>
    <s v="Fa_Stories_2024"/>
    <x v="2"/>
    <s v="Retargeting"/>
    <s v="North"/>
    <s v="Mobile"/>
    <s v="35-44"/>
    <x v="6"/>
    <x v="3"/>
    <n v="2024"/>
    <n v="18882.189999999999"/>
    <n v="529783"/>
    <n v="5723"/>
    <n v="617"/>
    <n v="18382.900000000001"/>
    <n v="1.080253613271849"/>
    <n v="3.2121090337235718"/>
    <n v="29.794003241491087"/>
    <n v="1.027160567701505"/>
    <s v="🔴 Low"/>
  </r>
  <r>
    <n v="66"/>
    <s v="Di_Retargeting_Display_2023"/>
    <x v="0"/>
    <s v="Traffic"/>
    <s v="East"/>
    <s v="Desktop"/>
    <s v="18-24"/>
    <x v="11"/>
    <x v="2"/>
    <n v="2023"/>
    <n v="19991.66"/>
    <n v="709938"/>
    <n v="4022"/>
    <n v="139"/>
    <n v="16833.45"/>
    <n v="0.56652834472869462"/>
    <n v="4.1853431128791652"/>
    <n v="121.10395683453238"/>
    <n v="1.1876151353406461"/>
    <s v="🔴 Low"/>
  </r>
  <r>
    <n v="67"/>
    <s v="Go_Discovery_2024"/>
    <x v="1"/>
    <s v="Traffic"/>
    <s v="West"/>
    <s v="Mobile"/>
    <s v="25-34"/>
    <x v="9"/>
    <x v="3"/>
    <n v="2024"/>
    <n v="12878.3"/>
    <n v="520611"/>
    <n v="17455"/>
    <n v="388"/>
    <n v="9463.5499999999993"/>
    <n v="3.3527912395243282"/>
    <n v="0.54216843311372098"/>
    <n v="24.390592783505152"/>
    <n v="1.3608318231530452"/>
    <s v="🟢 High"/>
  </r>
  <r>
    <n v="68"/>
    <s v="Go_Shopping_2024"/>
    <x v="1"/>
    <s v="Conversions"/>
    <s v="West"/>
    <s v="Tablet"/>
    <s v="45-54"/>
    <x v="5"/>
    <x v="2"/>
    <n v="2024"/>
    <n v="16364.54"/>
    <n v="581818"/>
    <n v="15657"/>
    <n v="823"/>
    <n v="10423.969999999999"/>
    <n v="2.6910477159524113"/>
    <n v="0.66577058184837445"/>
    <n v="12.665820170109356"/>
    <n v="1.5698951551088502"/>
    <s v="🟡 Mid"/>
  </r>
  <r>
    <n v="69"/>
    <s v="Fa_Lead_Form_2024"/>
    <x v="2"/>
    <s v="Brand Awareness"/>
    <s v="West"/>
    <s v="Tablet"/>
    <s v="18-24"/>
    <x v="3"/>
    <x v="3"/>
    <n v="2024"/>
    <n v="8558.33"/>
    <n v="201694"/>
    <n v="1828"/>
    <n v="22"/>
    <n v="6723.91"/>
    <n v="0.90632344045930968"/>
    <n v="3.6782877461706782"/>
    <n v="305.63227272727272"/>
    <n v="1.2728204274001289"/>
    <s v="🔴 Low"/>
  </r>
  <r>
    <n v="70"/>
    <s v="Go_PMax_2024"/>
    <x v="1"/>
    <s v="Conversions"/>
    <s v="Central"/>
    <s v="Desktop"/>
    <s v="35-44"/>
    <x v="4"/>
    <x v="1"/>
    <n v="2024"/>
    <n v="2867.81"/>
    <n v="665626"/>
    <n v="18100"/>
    <n v="1676"/>
    <n v="2008.92"/>
    <n v="2.7192447410407645"/>
    <n v="0.11099005524861878"/>
    <n v="1.1986396181384249"/>
    <n v="1.4275381797184556"/>
    <s v="🟡 Mid"/>
  </r>
  <r>
    <n v="71"/>
    <s v="Go_YouTube_PreRoll_2023"/>
    <x v="1"/>
    <s v="Traffic"/>
    <s v="North"/>
    <s v="Tablet"/>
    <s v="45-54"/>
    <x v="7"/>
    <x v="0"/>
    <n v="2023"/>
    <n v="19849.009999999998"/>
    <n v="123972"/>
    <n v="3170"/>
    <n v="110"/>
    <n v="16064.16"/>
    <n v="2.557029006549866"/>
    <n v="5.0675583596214508"/>
    <n v="146.03781818181818"/>
    <n v="1.2356083355743468"/>
    <s v="🟡 Mid"/>
  </r>
  <r>
    <n v="72"/>
    <s v="Di_Programmatic_2023"/>
    <x v="0"/>
    <s v="Traffic"/>
    <s v="East"/>
    <s v="Mobile"/>
    <s v="45-54"/>
    <x v="4"/>
    <x v="1"/>
    <n v="2023"/>
    <n v="9407.34"/>
    <n v="156668"/>
    <n v="1190"/>
    <n v="25"/>
    <n v="9286.7800000000007"/>
    <n v="0.75956800367656452"/>
    <n v="7.8040168067226894"/>
    <n v="371.47120000000001"/>
    <n v="1.0129818946933167"/>
    <s v="🔴 Low"/>
  </r>
  <r>
    <n v="73"/>
    <s v="Di_Native_2024"/>
    <x v="0"/>
    <s v="Brand Awareness"/>
    <s v="East"/>
    <s v="Mobile"/>
    <s v="35-44"/>
    <x v="10"/>
    <x v="1"/>
    <n v="2024"/>
    <n v="16500.71"/>
    <n v="301578"/>
    <n v="1680"/>
    <n v="23"/>
    <n v="14474.01"/>
    <n v="0.55706981278475221"/>
    <n v="8.6154821428571431"/>
    <n v="629.30478260869563"/>
    <n v="1.1400233936552482"/>
    <s v="🔴 Low"/>
  </r>
  <r>
    <n v="74"/>
    <s v="Go_Discovery_2024"/>
    <x v="1"/>
    <s v="Traffic"/>
    <s v="West"/>
    <s v="Mobile"/>
    <s v="35-44"/>
    <x v="10"/>
    <x v="1"/>
    <n v="2024"/>
    <n v="9379.2199999999993"/>
    <n v="342408"/>
    <n v="6360"/>
    <n v="229"/>
    <n v="9491.07"/>
    <n v="1.8574332375411791"/>
    <n v="1.4923066037735848"/>
    <n v="41.445720524017467"/>
    <n v="0.98821523811330014"/>
    <s v="🟡 Mid"/>
  </r>
  <r>
    <n v="75"/>
    <s v="Go_Smart_Campaign_2024"/>
    <x v="1"/>
    <s v="Lead Generation"/>
    <s v="West"/>
    <s v="Desktop"/>
    <s v="35-44"/>
    <x v="6"/>
    <x v="3"/>
    <n v="2024"/>
    <n v="14251.94"/>
    <n v="404749"/>
    <n v="9078"/>
    <n v="810"/>
    <n v="14422.16"/>
    <n v="2.2428715080210204"/>
    <n v="1.5886935448336639"/>
    <n v="17.805135802469135"/>
    <n v="0.98819732966490459"/>
    <s v="🟡 Mid"/>
  </r>
  <r>
    <n v="76"/>
    <s v="Fa_Feed_Image_2024"/>
    <x v="2"/>
    <s v="Lead Generation"/>
    <s v="Central"/>
    <s v="Tablet"/>
    <s v="35-44"/>
    <x v="7"/>
    <x v="0"/>
    <n v="2024"/>
    <n v="2444.38"/>
    <n v="484123"/>
    <n v="10090"/>
    <n v="412"/>
    <n v="1614.62"/>
    <n v="2.084181086211562"/>
    <n v="0.16002180376610503"/>
    <n v="3.9189805825242714"/>
    <n v="1.5139042003691272"/>
    <s v="🟡 Mid"/>
  </r>
  <r>
    <n v="77"/>
    <s v="Di_Native_2024"/>
    <x v="0"/>
    <s v="Brand Awareness"/>
    <s v="West"/>
    <s v="Mobile"/>
    <s v="35-44"/>
    <x v="9"/>
    <x v="3"/>
    <n v="2024"/>
    <n v="13171.81"/>
    <n v="349525"/>
    <n v="4522"/>
    <n v="48"/>
    <n v="9654.91"/>
    <n v="1.2937558114584078"/>
    <n v="2.1350973020787261"/>
    <n v="201.14395833333333"/>
    <n v="1.3642602572162765"/>
    <s v="🔴 Low"/>
  </r>
  <r>
    <n v="78"/>
    <s v="Di_Responsive_2024"/>
    <x v="0"/>
    <s v="Traffic"/>
    <s v="North"/>
    <s v="Tablet"/>
    <s v="18-24"/>
    <x v="11"/>
    <x v="2"/>
    <n v="2024"/>
    <n v="19949.810000000001"/>
    <n v="788041"/>
    <n v="394"/>
    <n v="5"/>
    <n v="20167.3"/>
    <n v="4.9997398612508744E-2"/>
    <n v="51.186040609137052"/>
    <n v="4033.46"/>
    <n v="0.98921571058099012"/>
    <s v="🔴 Low"/>
  </r>
  <r>
    <n v="79"/>
    <s v="Di_Rich_Media_2023"/>
    <x v="0"/>
    <s v="Retargeting"/>
    <s v="South"/>
    <s v="Tablet"/>
    <s v="35-44"/>
    <x v="8"/>
    <x v="0"/>
    <n v="2023"/>
    <n v="6825.31"/>
    <n v="63845"/>
    <n v="363"/>
    <n v="26"/>
    <n v="5617.84"/>
    <n v="0.56856449212937588"/>
    <n v="15.476143250688706"/>
    <n v="216.07076923076923"/>
    <n v="1.214934921606881"/>
    <s v="🔴 Low"/>
  </r>
  <r>
    <n v="80"/>
    <s v="Di_Native_2023"/>
    <x v="0"/>
    <s v="Lead Generation"/>
    <s v="South"/>
    <s v="Desktop"/>
    <s v="55+"/>
    <x v="1"/>
    <x v="1"/>
    <n v="2023"/>
    <n v="10204.51"/>
    <n v="616484"/>
    <n v="7192"/>
    <n v="349"/>
    <n v="8099.15"/>
    <n v="1.1666158408004101"/>
    <n v="1.1261332035595104"/>
    <n v="23.2067335243553"/>
    <n v="1.2599482661760804"/>
    <s v="🔴 Low"/>
  </r>
  <r>
    <n v="81"/>
    <s v="Fa_Instant_Experience_2023"/>
    <x v="2"/>
    <s v="Conversions"/>
    <s v="North"/>
    <s v="Mobile"/>
    <s v="35-44"/>
    <x v="3"/>
    <x v="3"/>
    <n v="2023"/>
    <n v="1940.31"/>
    <n v="367351"/>
    <n v="7421"/>
    <n v="870"/>
    <n v="1726.74"/>
    <n v="2.020138777354628"/>
    <n v="0.23268292682926831"/>
    <n v="1.9847586206896553"/>
    <n v="1.1236839362034816"/>
    <s v="🟡 Mid"/>
  </r>
  <r>
    <n v="82"/>
    <s v="Fa_Stories_2024"/>
    <x v="2"/>
    <s v="Lead Generation"/>
    <s v="West"/>
    <s v="Mobile"/>
    <s v="18-24"/>
    <x v="11"/>
    <x v="2"/>
    <n v="2024"/>
    <n v="11652.49"/>
    <n v="607733"/>
    <n v="9525"/>
    <n v="550"/>
    <n v="10413.799999999999"/>
    <n v="1.567300113701247"/>
    <n v="1.0933123359580053"/>
    <n v="18.934181818181816"/>
    <n v="1.1189469742073019"/>
    <s v="🟡 Mid"/>
  </r>
  <r>
    <n v="83"/>
    <s v="Go_Smart_Campaign_2024"/>
    <x v="1"/>
    <s v="Conversions"/>
    <s v="North"/>
    <s v="Tablet"/>
    <s v="18-24"/>
    <x v="9"/>
    <x v="3"/>
    <n v="2024"/>
    <n v="16740.36"/>
    <n v="305096"/>
    <n v="8720"/>
    <n v="925"/>
    <n v="11584.03"/>
    <n v="2.8581167894695438"/>
    <n v="1.3284438073394496"/>
    <n v="12.523275675675677"/>
    <n v="1.4451240198790922"/>
    <s v="🟡 Mid"/>
  </r>
  <r>
    <n v="84"/>
    <s v="Go_YouTube_PreRoll_2024"/>
    <x v="1"/>
    <s v="Lead Generation"/>
    <s v="North"/>
    <s v="Tablet"/>
    <s v="18-24"/>
    <x v="5"/>
    <x v="2"/>
    <n v="2024"/>
    <n v="1150.6099999999999"/>
    <n v="387584"/>
    <n v="9469"/>
    <n v="794"/>
    <n v="733.92"/>
    <n v="2.4430833058124173"/>
    <n v="7.750765656352307E-2"/>
    <n v="0.92433249370277071"/>
    <n v="1.5677594288205798"/>
    <s v="🟡 Mid"/>
  </r>
  <r>
    <n v="85"/>
    <s v="Fa_Lead_Form_2024"/>
    <x v="2"/>
    <s v="Retargeting"/>
    <s v="South"/>
    <s v="Desktop"/>
    <s v="25-34"/>
    <x v="10"/>
    <x v="1"/>
    <n v="2024"/>
    <n v="10851.62"/>
    <n v="290765"/>
    <n v="5194"/>
    <n v="654"/>
    <n v="8707.08"/>
    <n v="1.786322287758155"/>
    <n v="1.6763727377743549"/>
    <n v="13.313577981651376"/>
    <n v="1.2462984146235019"/>
    <s v="🟡 Mid"/>
  </r>
  <r>
    <n v="86"/>
    <s v="Fa_Lead_Form_2024"/>
    <x v="2"/>
    <s v="Brand Awareness"/>
    <s v="West"/>
    <s v="Desktop"/>
    <s v="25-34"/>
    <x v="11"/>
    <x v="2"/>
    <n v="2024"/>
    <n v="19361.759999999998"/>
    <n v="589384"/>
    <n v="7443"/>
    <n v="78"/>
    <n v="18046.830000000002"/>
    <n v="1.262843918396156"/>
    <n v="2.4246715034260382"/>
    <n v="231.3696153846154"/>
    <n v="1.0728621037600508"/>
    <s v="🔴 Low"/>
  </r>
  <r>
    <n v="87"/>
    <s v="Go_YouTube_PreRoll_2024"/>
    <x v="1"/>
    <s v="Traffic"/>
    <s v="North"/>
    <s v="Mobile"/>
    <s v="35-44"/>
    <x v="3"/>
    <x v="3"/>
    <n v="2024"/>
    <n v="11898.92"/>
    <n v="674567"/>
    <n v="20390"/>
    <n v="346"/>
    <n v="7264.41"/>
    <n v="3.022679733814432"/>
    <n v="0.35627317312408041"/>
    <n v="20.995404624277455"/>
    <n v="1.6379747288492803"/>
    <s v="🟢 High"/>
  </r>
  <r>
    <n v="88"/>
    <s v="Di_Retargeting_Display_2024"/>
    <x v="0"/>
    <s v="Traffic"/>
    <s v="South"/>
    <s v="Tablet"/>
    <s v="18-24"/>
    <x v="3"/>
    <x v="3"/>
    <n v="2024"/>
    <n v="18233.060000000001"/>
    <n v="321869"/>
    <n v="1970"/>
    <n v="58"/>
    <n v="11833.33"/>
    <n v="0.61205024404338415"/>
    <n v="6.0067664974619293"/>
    <n v="204.02293103448275"/>
    <n v="1.5408224058654665"/>
    <s v="🔴 Low"/>
  </r>
  <r>
    <n v="89"/>
    <s v="Go_Search_Brand_2023"/>
    <x v="1"/>
    <s v="Conversions"/>
    <s v="West"/>
    <s v="Desktop"/>
    <s v="18-24"/>
    <x v="11"/>
    <x v="2"/>
    <n v="2023"/>
    <n v="8078.59"/>
    <n v="394033"/>
    <n v="9476"/>
    <n v="1101"/>
    <n v="6269.25"/>
    <n v="2.4048747186149382"/>
    <n v="0.66159244406922757"/>
    <n v="5.6941416893732972"/>
    <n v="1.2886054950751684"/>
    <s v="🟡 Mid"/>
  </r>
  <r>
    <n v="90"/>
    <s v="Di_Native_2024"/>
    <x v="0"/>
    <s v="Retargeting"/>
    <s v="North"/>
    <s v="Mobile"/>
    <s v="55+"/>
    <x v="1"/>
    <x v="1"/>
    <n v="2024"/>
    <n v="1137.97"/>
    <n v="393528"/>
    <n v="196"/>
    <n v="15"/>
    <n v="895.32"/>
    <n v="4.9805858795308085E-2"/>
    <n v="4.5679591836734694"/>
    <n v="59.688000000000002"/>
    <n v="1.271020417280972"/>
    <s v="🔴 Low"/>
  </r>
  <r>
    <n v="91"/>
    <s v="Go_Search_Competitor_2024"/>
    <x v="1"/>
    <s v="Brand Awareness"/>
    <s v="East"/>
    <s v="Tablet"/>
    <s v="35-44"/>
    <x v="8"/>
    <x v="0"/>
    <n v="2024"/>
    <n v="5879.69"/>
    <n v="133093"/>
    <n v="4904"/>
    <n v="31"/>
    <n v="4051.6"/>
    <n v="3.6846415664234784"/>
    <n v="0.82618270799347471"/>
    <n v="130.69677419354838"/>
    <n v="1.451201994273867"/>
    <s v="🟢 High"/>
  </r>
  <r>
    <n v="92"/>
    <s v="Di_Banner_Standard_2023"/>
    <x v="0"/>
    <s v="Brand Awareness"/>
    <s v="East"/>
    <s v="Desktop"/>
    <s v="25-34"/>
    <x v="9"/>
    <x v="3"/>
    <n v="2023"/>
    <n v="1837.9"/>
    <n v="586128"/>
    <n v="2382"/>
    <n v="19"/>
    <n v="1269.44"/>
    <n v="0.4063958725739088"/>
    <n v="0.5329303106633082"/>
    <n v="66.812631578947375"/>
    <n v="1.4478037559868919"/>
    <s v="🔴 Low"/>
  </r>
  <r>
    <n v="93"/>
    <s v="Go_Search_Competitor_2023"/>
    <x v="1"/>
    <s v="Lead Generation"/>
    <s v="Central"/>
    <s v="Desktop"/>
    <s v="35-44"/>
    <x v="0"/>
    <x v="0"/>
    <n v="2023"/>
    <n v="11034.2"/>
    <n v="187973"/>
    <n v="6716"/>
    <n v="321"/>
    <n v="8280.75"/>
    <n v="3.5728535481159529"/>
    <n v="1.2329883859440143"/>
    <n v="25.796728971962615"/>
    <n v="1.3325121516770824"/>
    <s v="🟢 High"/>
  </r>
  <r>
    <n v="94"/>
    <s v="Go_Search_Competitor_2024"/>
    <x v="1"/>
    <s v="Brand Awareness"/>
    <s v="South"/>
    <s v="Mobile"/>
    <s v="18-24"/>
    <x v="0"/>
    <x v="0"/>
    <n v="2024"/>
    <n v="10758.67"/>
    <n v="786886"/>
    <n v="27062"/>
    <n v="161"/>
    <n v="8480.7999999999993"/>
    <n v="3.4391258708377075"/>
    <n v="0.31338408099918702"/>
    <n v="52.67577639751552"/>
    <n v="1.2685914064710877"/>
    <s v="🟢 High"/>
  </r>
  <r>
    <n v="95"/>
    <s v="Fa_Feed_Video_2024"/>
    <x v="2"/>
    <s v="Retargeting"/>
    <s v="Central"/>
    <s v="Desktop"/>
    <s v="55+"/>
    <x v="8"/>
    <x v="0"/>
    <n v="2024"/>
    <n v="9431.83"/>
    <n v="37663"/>
    <n v="802"/>
    <n v="73"/>
    <n v="8376.98"/>
    <n v="2.1294108276026869"/>
    <n v="10.445112219451371"/>
    <n v="114.7531506849315"/>
    <n v="1.1259224684790941"/>
    <s v="🟡 Mid"/>
  </r>
  <r>
    <n v="96"/>
    <s v="Fa_Instant_Experience_2023"/>
    <x v="2"/>
    <s v="Brand Awareness"/>
    <s v="North"/>
    <s v="Mobile"/>
    <s v="55+"/>
    <x v="0"/>
    <x v="0"/>
    <n v="2023"/>
    <n v="2960.74"/>
    <n v="659644"/>
    <n v="11958"/>
    <n v="173"/>
    <n v="2458.33"/>
    <n v="1.8127959929901583"/>
    <n v="0.20558036460946646"/>
    <n v="14.209999999999999"/>
    <n v="1.2043704466039953"/>
    <s v="🟡 Mid"/>
  </r>
  <r>
    <n v="97"/>
    <s v="Fa_Messenger_2024"/>
    <x v="2"/>
    <s v="Traffic"/>
    <s v="Central"/>
    <s v="Mobile"/>
    <s v="45-54"/>
    <x v="10"/>
    <x v="1"/>
    <n v="2024"/>
    <n v="2433.98"/>
    <n v="740869"/>
    <n v="15919"/>
    <n v="578"/>
    <n v="2024"/>
    <n v="2.148692953815047"/>
    <n v="0.12714366480306552"/>
    <n v="3.5017301038062283"/>
    <n v="1.2025592885375493"/>
    <s v="🟡 Mid"/>
  </r>
  <r>
    <n v="98"/>
    <s v="Go_Smart_Campaign_2024"/>
    <x v="1"/>
    <s v="Retargeting"/>
    <s v="South"/>
    <s v="Mobile"/>
    <s v="35-44"/>
    <x v="4"/>
    <x v="1"/>
    <n v="2024"/>
    <n v="8611.7999999999993"/>
    <n v="104704"/>
    <n v="3434"/>
    <n v="291"/>
    <n v="6297.46"/>
    <n v="3.2797218826405872"/>
    <n v="1.8338555620267909"/>
    <n v="21.640756013745705"/>
    <n v="1.3675037237235328"/>
    <s v="🟢 High"/>
  </r>
  <r>
    <n v="99"/>
    <s v="Fa_Lead_Form_2023"/>
    <x v="2"/>
    <s v="Lead Generation"/>
    <s v="West"/>
    <s v="Desktop"/>
    <s v="18-24"/>
    <x v="7"/>
    <x v="0"/>
    <n v="2023"/>
    <n v="8921.59"/>
    <n v="785758"/>
    <n v="12067"/>
    <n v="885"/>
    <n v="7550.48"/>
    <n v="1.5357145584263856"/>
    <n v="0.62571310184801521"/>
    <n v="8.5316158192090388"/>
    <n v="1.1815924285608332"/>
    <s v="🟡 Mid"/>
  </r>
  <r>
    <n v="100"/>
    <s v="Di_Retargeting_Display_2023"/>
    <x v="0"/>
    <s v="Brand Awareness"/>
    <s v="West"/>
    <s v="Mobile"/>
    <s v="45-54"/>
    <x v="6"/>
    <x v="3"/>
    <n v="2023"/>
    <n v="19383.77"/>
    <n v="634575"/>
    <n v="317"/>
    <n v="3"/>
    <n v="12473.69"/>
    <n v="4.9954694086593393E-2"/>
    <n v="39.349179810725552"/>
    <n v="4157.8966666666665"/>
    <n v="1.5539724011098559"/>
    <s v="🔴 Low"/>
  </r>
  <r>
    <n v="101"/>
    <s v="Di_Interstitial_2024"/>
    <x v="0"/>
    <s v="Lead Generation"/>
    <s v="West"/>
    <s v="Desktop"/>
    <s v="18-24"/>
    <x v="2"/>
    <x v="2"/>
    <n v="2024"/>
    <n v="2740.26"/>
    <n v="297099"/>
    <n v="148"/>
    <n v="13"/>
    <n v="2765.77"/>
    <n v="4.9815044816710924E-2"/>
    <n v="18.687635135135135"/>
    <n v="212.75153846153847"/>
    <n v="0.99077652877860423"/>
    <s v="🔴 Low"/>
  </r>
  <r>
    <n v="102"/>
    <s v="Di_Banner_Standard_2024"/>
    <x v="0"/>
    <s v="Traffic"/>
    <s v="East"/>
    <s v="Desktop"/>
    <s v="25-34"/>
    <x v="5"/>
    <x v="2"/>
    <n v="2024"/>
    <n v="18469.98"/>
    <n v="373074"/>
    <n v="1091"/>
    <n v="11"/>
    <n v="17829.849999999999"/>
    <n v="0.29243528093622179"/>
    <n v="16.342667277726854"/>
    <n v="1620.8954545454544"/>
    <n v="1.0359021528504166"/>
    <s v="🔴 Low"/>
  </r>
  <r>
    <n v="103"/>
    <s v="Di_Video_Display_2023"/>
    <x v="0"/>
    <s v="Brand Awareness"/>
    <s v="South"/>
    <s v="Tablet"/>
    <s v="18-24"/>
    <x v="7"/>
    <x v="0"/>
    <n v="2023"/>
    <n v="7835.79"/>
    <n v="480682"/>
    <n v="2115"/>
    <n v="33"/>
    <n v="7258.06"/>
    <n v="0.43999983356980288"/>
    <n v="3.4317068557919623"/>
    <n v="219.94121212121215"/>
    <n v="1.079598405083452"/>
    <s v="🔴 Low"/>
  </r>
  <r>
    <n v="104"/>
    <s v="Di_Rich_Media_2023"/>
    <x v="0"/>
    <s v="Brand Awareness"/>
    <s v="South"/>
    <s v="Desktop"/>
    <s v="55+"/>
    <x v="8"/>
    <x v="0"/>
    <n v="2023"/>
    <n v="5806.01"/>
    <n v="699093"/>
    <n v="7720"/>
    <n v="87"/>
    <n v="4963.9799999999996"/>
    <n v="1.1042879845742986"/>
    <n v="0.64300259067357513"/>
    <n v="57.057241379310341"/>
    <n v="1.1696280001128128"/>
    <s v="🔴 Low"/>
  </r>
  <r>
    <n v="105"/>
    <s v="Fa_Stories_2023"/>
    <x v="2"/>
    <s v="Lead Generation"/>
    <s v="Central"/>
    <s v="Desktop"/>
    <s v="35-44"/>
    <x v="1"/>
    <x v="1"/>
    <n v="2023"/>
    <n v="6023.31"/>
    <n v="716444"/>
    <n v="7809"/>
    <n v="456"/>
    <n v="4171.8500000000004"/>
    <n v="1.089966557051214"/>
    <n v="0.53423613778972989"/>
    <n v="9.148793859649123"/>
    <n v="1.443798314896269"/>
    <s v="🔴 Low"/>
  </r>
  <r>
    <n v="106"/>
    <s v="Di_Banner_Standard_2024"/>
    <x v="0"/>
    <s v="Brand Awareness"/>
    <s v="South"/>
    <s v="Mobile"/>
    <s v="25-34"/>
    <x v="0"/>
    <x v="0"/>
    <n v="2024"/>
    <n v="6144.22"/>
    <n v="130812"/>
    <n v="473"/>
    <n v="2"/>
    <n v="5614.26"/>
    <n v="0.3615876219307097"/>
    <n v="11.869471458773784"/>
    <n v="2807.13"/>
    <n v="1.0943953432865596"/>
    <s v="🔴 Low"/>
  </r>
  <r>
    <n v="107"/>
    <s v="Go_Shopping_2024"/>
    <x v="1"/>
    <s v="Retargeting"/>
    <s v="Central"/>
    <s v="Tablet"/>
    <s v="25-34"/>
    <x v="10"/>
    <x v="1"/>
    <n v="2024"/>
    <n v="1905.47"/>
    <n v="783086"/>
    <n v="22661"/>
    <n v="3029"/>
    <n v="1833.23"/>
    <n v="2.8938073212903817"/>
    <n v="8.0898018622302642E-2"/>
    <n v="0.60522614724331458"/>
    <n v="1.0394058574210547"/>
    <s v="🟡 Mid"/>
  </r>
  <r>
    <n v="108"/>
    <s v="Di_Video_Display_2023"/>
    <x v="0"/>
    <s v="Traffic"/>
    <s v="West"/>
    <s v="Tablet"/>
    <s v="45-54"/>
    <x v="5"/>
    <x v="2"/>
    <n v="2023"/>
    <n v="8398.1299999999992"/>
    <n v="345544"/>
    <n v="2507"/>
    <n v="37"/>
    <n v="8381.32"/>
    <n v="0.7255226541337717"/>
    <n v="3.3431671320303149"/>
    <n v="226.52216216216215"/>
    <n v="1.0020056506612323"/>
    <s v="🔴 Low"/>
  </r>
  <r>
    <n v="109"/>
    <s v="Fa_Lead_Form_2024"/>
    <x v="2"/>
    <s v="Brand Awareness"/>
    <s v="West"/>
    <s v="Desktop"/>
    <s v="25-34"/>
    <x v="1"/>
    <x v="1"/>
    <n v="2024"/>
    <n v="10717.27"/>
    <n v="419991"/>
    <n v="9107"/>
    <n v="75"/>
    <n v="9937.3700000000008"/>
    <n v="2.168379798614732"/>
    <n v="1.0911793126166687"/>
    <n v="132.49826666666667"/>
    <n v="1.0784815298212707"/>
    <s v="🟡 Mid"/>
  </r>
  <r>
    <n v="110"/>
    <s v="Go_Search_Generic_2023"/>
    <x v="1"/>
    <s v="Traffic"/>
    <s v="Central"/>
    <s v="Desktop"/>
    <s v="35-44"/>
    <x v="2"/>
    <x v="2"/>
    <n v="2023"/>
    <n v="5107.24"/>
    <n v="158557"/>
    <n v="3486"/>
    <n v="61"/>
    <n v="3436.51"/>
    <n v="2.1985784292084234"/>
    <n v="0.98580321285140571"/>
    <n v="56.336229508196723"/>
    <n v="1.4861705625765673"/>
    <s v="🟡 Mid"/>
  </r>
  <r>
    <n v="111"/>
    <s v="Go_Search_Generic_2024"/>
    <x v="1"/>
    <s v="Lead Generation"/>
    <s v="West"/>
    <s v="Mobile"/>
    <s v="55+"/>
    <x v="9"/>
    <x v="3"/>
    <n v="2024"/>
    <n v="13782.1"/>
    <n v="596912"/>
    <n v="11257"/>
    <n v="668"/>
    <n v="13889.72"/>
    <n v="1.8858726244404533"/>
    <n v="1.2338740339344407"/>
    <n v="20.792994011976045"/>
    <n v="0.99225182365087283"/>
    <s v="🟡 Mid"/>
  </r>
  <r>
    <n v="112"/>
    <s v="Fa_Carousel_2024"/>
    <x v="2"/>
    <s v="Retargeting"/>
    <s v="North"/>
    <s v="Mobile"/>
    <s v="45-54"/>
    <x v="3"/>
    <x v="3"/>
    <n v="2024"/>
    <n v="16028.43"/>
    <n v="625148"/>
    <n v="2824"/>
    <n v="182"/>
    <n v="13032.42"/>
    <n v="0.4517330296185863"/>
    <n v="4.6148796033994337"/>
    <n v="71.606703296703301"/>
    <n v="1.2298889998941103"/>
    <s v="🔴 Low"/>
  </r>
  <r>
    <n v="113"/>
    <s v="Fa_Instant_Experience_2023"/>
    <x v="2"/>
    <s v="Retargeting"/>
    <s v="North"/>
    <s v="Desktop"/>
    <s v="35-44"/>
    <x v="5"/>
    <x v="2"/>
    <n v="2023"/>
    <n v="13071"/>
    <n v="99682"/>
    <n v="1150"/>
    <n v="111"/>
    <n v="10885.7"/>
    <n v="1.1536686663590217"/>
    <n v="9.4658260869565218"/>
    <n v="98.069369369369369"/>
    <n v="1.2007496072829491"/>
    <s v="🔴 Low"/>
  </r>
  <r>
    <n v="114"/>
    <s v="Di_Banner_Standard_2024"/>
    <x v="0"/>
    <s v="Retargeting"/>
    <s v="Central"/>
    <s v="Tablet"/>
    <s v="25-34"/>
    <x v="2"/>
    <x v="2"/>
    <n v="2024"/>
    <n v="10276.66"/>
    <n v="69879"/>
    <n v="214"/>
    <n v="20"/>
    <n v="9666.2900000000009"/>
    <n v="0.3062436497374032"/>
    <n v="45.169579439252338"/>
    <n v="483.31450000000007"/>
    <n v="1.0631441845837439"/>
    <s v="🔴 Low"/>
  </r>
  <r>
    <n v="115"/>
    <s v="Fa_Feed_Video_2024"/>
    <x v="2"/>
    <s v="Traffic"/>
    <s v="South"/>
    <s v="Desktop"/>
    <s v="25-34"/>
    <x v="6"/>
    <x v="3"/>
    <n v="2024"/>
    <n v="19824.23"/>
    <n v="554525"/>
    <n v="7258"/>
    <n v="153"/>
    <n v="14249.96"/>
    <n v="1.3088679500473379"/>
    <n v="1.9633452741802149"/>
    <n v="93.136993464052281"/>
    <n v="1.391177940148604"/>
    <s v="🔴 Low"/>
  </r>
  <r>
    <n v="116"/>
    <s v="Fa_Lead_Form_2024"/>
    <x v="2"/>
    <s v="Traffic"/>
    <s v="North"/>
    <s v="Tablet"/>
    <s v="35-44"/>
    <x v="7"/>
    <x v="0"/>
    <n v="2024"/>
    <n v="2342.87"/>
    <n v="716332"/>
    <n v="11161"/>
    <n v="241"/>
    <n v="1653.69"/>
    <n v="1.5580764226643511"/>
    <n v="0.14816683092912822"/>
    <n v="6.8617842323651459"/>
    <n v="1.416752837593503"/>
    <s v="🟡 Mid"/>
  </r>
  <r>
    <n v="117"/>
    <s v="Di_Native_2024"/>
    <x v="0"/>
    <s v="Conversions"/>
    <s v="North"/>
    <s v="Tablet"/>
    <s v="25-34"/>
    <x v="2"/>
    <x v="2"/>
    <n v="2024"/>
    <n v="19370.080000000002"/>
    <n v="737409"/>
    <n v="4145"/>
    <n v="412"/>
    <n v="12311.27"/>
    <n v="0.56210325613058698"/>
    <n v="2.9701495778045839"/>
    <n v="29.881723300970876"/>
    <n v="1.5733616434372735"/>
    <s v="🔴 Low"/>
  </r>
  <r>
    <n v="118"/>
    <s v="Di_Video_Display_2024"/>
    <x v="0"/>
    <s v="Conversions"/>
    <s v="South"/>
    <s v="Tablet"/>
    <s v="55+"/>
    <x v="7"/>
    <x v="0"/>
    <n v="2024"/>
    <n v="10415.530000000001"/>
    <n v="24116"/>
    <n v="114"/>
    <n v="8"/>
    <n v="7037.88"/>
    <n v="0.47271520981920717"/>
    <n v="61.735789473684214"/>
    <n v="879.73500000000001"/>
    <n v="1.4799243522197025"/>
    <s v="🔴 Low"/>
  </r>
  <r>
    <n v="119"/>
    <s v="Go_Search_Competitor_2023"/>
    <x v="1"/>
    <s v="Retargeting"/>
    <s v="South"/>
    <s v="Desktop"/>
    <s v="25-34"/>
    <x v="0"/>
    <x v="0"/>
    <n v="2023"/>
    <n v="6267.95"/>
    <n v="111053"/>
    <n v="2418"/>
    <n v="287"/>
    <n v="5146.8900000000003"/>
    <n v="2.1773387481652904"/>
    <n v="2.1285732009925558"/>
    <n v="17.933414634146342"/>
    <n v="1.2178130871264006"/>
    <s v="🟡 Mid"/>
  </r>
  <r>
    <n v="120"/>
    <s v="Di_Retargeting_Display_2023"/>
    <x v="0"/>
    <s v="Traffic"/>
    <s v="South"/>
    <s v="Tablet"/>
    <s v="45-54"/>
    <x v="0"/>
    <x v="0"/>
    <n v="2023"/>
    <n v="4026.5"/>
    <n v="731501"/>
    <n v="4900"/>
    <n v="162"/>
    <n v="3784.1"/>
    <n v="0.66985554360144417"/>
    <n v="0.77226530612244892"/>
    <n v="23.358641975308643"/>
    <n v="1.0640575037657567"/>
    <s v="🔴 Low"/>
  </r>
  <r>
    <n v="121"/>
    <s v="Go_Discovery_2024"/>
    <x v="1"/>
    <s v="Brand Awareness"/>
    <s v="West"/>
    <s v="Mobile"/>
    <s v="25-34"/>
    <x v="4"/>
    <x v="1"/>
    <n v="2024"/>
    <n v="15171.63"/>
    <n v="475735"/>
    <n v="13497"/>
    <n v="262"/>
    <n v="14101.05"/>
    <n v="2.8370836705308626"/>
    <n v="1.0447543898644143"/>
    <n v="53.820801526717553"/>
    <n v="1.0759220058080781"/>
    <s v="🟡 Mid"/>
  </r>
  <r>
    <n v="122"/>
    <s v="Go_Search_Competitor_2024"/>
    <x v="1"/>
    <s v="Traffic"/>
    <s v="West"/>
    <s v="Mobile"/>
    <s v="35-44"/>
    <x v="1"/>
    <x v="1"/>
    <n v="2024"/>
    <n v="19342.23"/>
    <n v="214398"/>
    <n v="6791"/>
    <n v="231"/>
    <n v="12729.65"/>
    <n v="3.1674735771788911"/>
    <n v="1.8744882933294065"/>
    <n v="55.106709956709956"/>
    <n v="1.5194628289073149"/>
    <s v="🟢 High"/>
  </r>
  <r>
    <n v="123"/>
    <s v="Fa_Feed_Image_2023"/>
    <x v="2"/>
    <s v="Retargeting"/>
    <s v="East"/>
    <s v="Tablet"/>
    <s v="18-24"/>
    <x v="6"/>
    <x v="3"/>
    <n v="2023"/>
    <n v="6058.73"/>
    <n v="173099"/>
    <n v="2501"/>
    <n v="179"/>
    <n v="4748.46"/>
    <n v="1.4448379251179961"/>
    <n v="1.8986245501799281"/>
    <n v="26.527709497206704"/>
    <n v="1.2759357770729878"/>
    <s v="🔴 Low"/>
  </r>
  <r>
    <n v="124"/>
    <s v="Go_Discovery_2024"/>
    <x v="1"/>
    <s v="Conversions"/>
    <s v="North"/>
    <s v="Mobile"/>
    <s v="18-24"/>
    <x v="1"/>
    <x v="1"/>
    <n v="2024"/>
    <n v="5097.67"/>
    <n v="90569"/>
    <n v="3509"/>
    <n v="267"/>
    <n v="3118.95"/>
    <n v="3.8743941083593727"/>
    <n v="0.88884297520661149"/>
    <n v="11.681460674157302"/>
    <n v="1.6344186344763463"/>
    <s v="🟢 High"/>
  </r>
  <r>
    <n v="125"/>
    <s v="Go_Search_Competitor_2023"/>
    <x v="1"/>
    <s v="Lead Generation"/>
    <s v="South"/>
    <s v="Desktop"/>
    <s v="35-44"/>
    <x v="4"/>
    <x v="1"/>
    <n v="2023"/>
    <n v="15297.4"/>
    <n v="496897"/>
    <n v="13671"/>
    <n v="611"/>
    <n v="10822.73"/>
    <n v="2.7512744089821428"/>
    <n v="0.79165606027357172"/>
    <n v="17.713142389525366"/>
    <n v="1.4134511347876184"/>
    <s v="🟡 Mid"/>
  </r>
  <r>
    <n v="126"/>
    <s v="Go_Smart_Campaign_2023"/>
    <x v="1"/>
    <s v="Brand Awareness"/>
    <s v="East"/>
    <s v="Desktop"/>
    <s v="35-44"/>
    <x v="7"/>
    <x v="0"/>
    <n v="2023"/>
    <n v="5149.57"/>
    <n v="674989"/>
    <n v="19009"/>
    <n v="321"/>
    <n v="4078.4"/>
    <n v="2.8161940416806792"/>
    <n v="0.21455100215687306"/>
    <n v="12.705295950155763"/>
    <n v="1.2626446645743428"/>
    <s v="🟡 Mid"/>
  </r>
  <r>
    <n v="127"/>
    <s v="Go_Discovery_2023"/>
    <x v="1"/>
    <s v="Traffic"/>
    <s v="Central"/>
    <s v="Desktop"/>
    <s v="55+"/>
    <x v="9"/>
    <x v="3"/>
    <n v="2023"/>
    <n v="14511.61"/>
    <n v="310420"/>
    <n v="6756"/>
    <n v="116"/>
    <n v="11245.89"/>
    <n v="2.1764061593969464"/>
    <n v="1.6645781527531083"/>
    <n v="96.947327586206896"/>
    <n v="1.2903923122136176"/>
    <s v="🟡 Mid"/>
  </r>
  <r>
    <n v="128"/>
    <s v="Di_Rich_Media_2023"/>
    <x v="0"/>
    <s v="Traffic"/>
    <s v="East"/>
    <s v="Desktop"/>
    <s v="55+"/>
    <x v="10"/>
    <x v="1"/>
    <n v="2023"/>
    <n v="8113.85"/>
    <n v="497972"/>
    <n v="4965"/>
    <n v="56"/>
    <n v="6186.73"/>
    <n v="0.99704401050661495"/>
    <n v="1.2460684793554884"/>
    <n v="110.47732142857141"/>
    <n v="1.3114925008849587"/>
    <s v="🔴 Low"/>
  </r>
  <r>
    <n v="129"/>
    <s v="Fa_Stories_2023"/>
    <x v="2"/>
    <s v="Brand Awareness"/>
    <s v="East"/>
    <s v="Desktop"/>
    <s v="35-44"/>
    <x v="11"/>
    <x v="2"/>
    <n v="2023"/>
    <n v="15544.28"/>
    <n v="775899"/>
    <n v="12501"/>
    <n v="128"/>
    <n v="11536.81"/>
    <n v="1.6111633086265091"/>
    <n v="0.9228709703223742"/>
    <n v="90.131328124999996"/>
    <n v="1.3473637860032368"/>
    <s v="🟡 Mid"/>
  </r>
  <r>
    <n v="130"/>
    <s v="Di_Native_2023"/>
    <x v="0"/>
    <s v="Retargeting"/>
    <s v="West"/>
    <s v="Tablet"/>
    <s v="25-34"/>
    <x v="0"/>
    <x v="0"/>
    <n v="2023"/>
    <n v="14462.88"/>
    <n v="484911"/>
    <n v="2098"/>
    <n v="132"/>
    <n v="9902.27"/>
    <n v="0.43265671432489672"/>
    <n v="4.7198617731172545"/>
    <n v="75.017196969696968"/>
    <n v="1.4605620731408049"/>
    <s v="🔴 Low"/>
  </r>
  <r>
    <n v="131"/>
    <s v="Go_Search_Brand_2024"/>
    <x v="1"/>
    <s v="Conversions"/>
    <s v="East"/>
    <s v="Tablet"/>
    <s v="45-54"/>
    <x v="10"/>
    <x v="1"/>
    <n v="2024"/>
    <n v="5439.62"/>
    <n v="794882"/>
    <n v="20287"/>
    <n v="2238"/>
    <n v="3372.99"/>
    <n v="2.5522027168812476"/>
    <n v="0.16626361709469117"/>
    <n v="1.5071447721179623"/>
    <n v="1.6126997115319051"/>
    <s v="🟡 Mid"/>
  </r>
  <r>
    <n v="132"/>
    <s v="Di_Retargeting_Display_2024"/>
    <x v="0"/>
    <s v="Conversions"/>
    <s v="North"/>
    <s v="Mobile"/>
    <s v="45-54"/>
    <x v="1"/>
    <x v="1"/>
    <n v="2024"/>
    <n v="17945.43"/>
    <n v="410426"/>
    <n v="1529"/>
    <n v="112"/>
    <n v="12175.31"/>
    <n v="0.37253975138027318"/>
    <n v="7.9629234793982988"/>
    <n v="108.708125"/>
    <n v="1.4739197605646182"/>
    <s v="🔴 Low"/>
  </r>
  <r>
    <n v="133"/>
    <s v="Di_Responsive_2024"/>
    <x v="0"/>
    <s v="Conversions"/>
    <s v="Central"/>
    <s v="Mobile"/>
    <s v="18-24"/>
    <x v="6"/>
    <x v="3"/>
    <n v="2024"/>
    <n v="2039.08"/>
    <n v="636718"/>
    <n v="6464"/>
    <n v="456"/>
    <n v="1311.31"/>
    <n v="1.0152061038010549"/>
    <n v="0.20286355198019801"/>
    <n v="2.8756798245614035"/>
    <n v="1.5549946236969139"/>
    <s v="🔴 Low"/>
  </r>
  <r>
    <n v="134"/>
    <s v="Fa_Stories_2024"/>
    <x v="2"/>
    <s v="Conversions"/>
    <s v="West"/>
    <s v="Tablet"/>
    <s v="45-54"/>
    <x v="0"/>
    <x v="0"/>
    <n v="2024"/>
    <n v="7355.17"/>
    <n v="49412"/>
    <n v="785"/>
    <n v="79"/>
    <n v="7229.21"/>
    <n v="1.588682911033757"/>
    <n v="9.2091847133757962"/>
    <n v="91.508987341772155"/>
    <n v="1.0174237572293514"/>
    <s v="🟡 Mid"/>
  </r>
  <r>
    <n v="135"/>
    <s v="Di_Video_Display_2023"/>
    <x v="0"/>
    <s v="Conversions"/>
    <s v="North"/>
    <s v="Desktop"/>
    <s v="45-54"/>
    <x v="2"/>
    <x v="2"/>
    <n v="2023"/>
    <n v="19079.39"/>
    <n v="154715"/>
    <n v="1759"/>
    <n v="141"/>
    <n v="12459.16"/>
    <n v="1.1369291923860001"/>
    <n v="7.083092666287663"/>
    <n v="88.362836879432621"/>
    <n v="1.5313544412303879"/>
    <s v="🔴 Low"/>
  </r>
  <r>
    <n v="136"/>
    <s v="Go_Search_Competitor_2023"/>
    <x v="1"/>
    <s v="Conversions"/>
    <s v="West"/>
    <s v="Tablet"/>
    <s v="18-24"/>
    <x v="9"/>
    <x v="3"/>
    <n v="2023"/>
    <n v="13741.71"/>
    <n v="393984"/>
    <n v="8617"/>
    <n v="655"/>
    <n v="12649.18"/>
    <n v="2.187144655620533"/>
    <n v="1.4679331553905071"/>
    <n v="19.311725190839695"/>
    <n v="1.0863716066970348"/>
    <s v="🟡 Mid"/>
  </r>
  <r>
    <n v="137"/>
    <s v="Di_Native_2024"/>
    <x v="0"/>
    <s v="Traffic"/>
    <s v="East"/>
    <s v="Mobile"/>
    <s v="35-44"/>
    <x v="3"/>
    <x v="3"/>
    <n v="2024"/>
    <n v="5367.43"/>
    <n v="123959"/>
    <n v="1260"/>
    <n v="32"/>
    <n v="5279.88"/>
    <n v="1.0164651215321194"/>
    <n v="4.1903809523809521"/>
    <n v="164.99625"/>
    <n v="1.0165818162533997"/>
    <s v="🔴 Low"/>
  </r>
  <r>
    <n v="138"/>
    <s v="Go_YouTube_PreRoll_2024"/>
    <x v="1"/>
    <s v="Conversions"/>
    <s v="West"/>
    <s v="Desktop"/>
    <s v="55+"/>
    <x v="5"/>
    <x v="2"/>
    <n v="2024"/>
    <n v="4403.4799999999996"/>
    <n v="147321"/>
    <n v="4201"/>
    <n v="460"/>
    <n v="3478.12"/>
    <n v="2.8515961743403859"/>
    <n v="0.82792668412282788"/>
    <n v="7.5611304347826085"/>
    <n v="1.2660517750968914"/>
    <s v="🟡 Mid"/>
  </r>
  <r>
    <n v="139"/>
    <s v="Di_Responsive_2023"/>
    <x v="0"/>
    <s v="Brand Awareness"/>
    <s v="East"/>
    <s v="Tablet"/>
    <s v="35-44"/>
    <x v="6"/>
    <x v="3"/>
    <n v="2023"/>
    <n v="11224.94"/>
    <n v="309466"/>
    <n v="4510"/>
    <n v="70"/>
    <n v="11106.81"/>
    <n v="1.4573491110493559"/>
    <n v="2.4627073170731708"/>
    <n v="158.66871428571429"/>
    <n v="1.0106358171248091"/>
    <s v="🔴 Low"/>
  </r>
  <r>
    <n v="140"/>
    <s v="Di_Native_2023"/>
    <x v="0"/>
    <s v="Conversions"/>
    <s v="Central"/>
    <s v="Desktop"/>
    <s v="18-24"/>
    <x v="11"/>
    <x v="2"/>
    <n v="2023"/>
    <n v="5116.3599999999997"/>
    <n v="523019"/>
    <n v="439"/>
    <n v="22"/>
    <n v="4260.34"/>
    <n v="8.3935765239886134E-2"/>
    <n v="9.7046469248291576"/>
    <n v="193.65181818181819"/>
    <n v="1.2009276254946788"/>
    <s v="🔴 Low"/>
  </r>
  <r>
    <n v="141"/>
    <s v="Fa_Instant_Experience_2024"/>
    <x v="2"/>
    <s v="Traffic"/>
    <s v="South"/>
    <s v="Tablet"/>
    <s v="18-24"/>
    <x v="7"/>
    <x v="0"/>
    <n v="2024"/>
    <n v="8264.1200000000008"/>
    <n v="756759"/>
    <n v="11209"/>
    <n v="370"/>
    <n v="7816.23"/>
    <n v="1.4811848950590611"/>
    <n v="0.69731733428494957"/>
    <n v="21.124945945945946"/>
    <n v="1.0573025614650542"/>
    <s v="🔴 Low"/>
  </r>
  <r>
    <n v="142"/>
    <s v="Go_Shopping_2024"/>
    <x v="1"/>
    <s v="Conversions"/>
    <s v="North"/>
    <s v="Mobile"/>
    <s v="45-54"/>
    <x v="3"/>
    <x v="3"/>
    <n v="2024"/>
    <n v="3002.52"/>
    <n v="583083"/>
    <n v="12833"/>
    <n v="1216"/>
    <n v="2030.98"/>
    <n v="2.2008873522294423"/>
    <n v="0.15826229252707863"/>
    <n v="1.6702138157894737"/>
    <n v="1.4783602004943426"/>
    <s v="🟡 Mid"/>
  </r>
  <r>
    <n v="143"/>
    <s v="Go_Smart_Campaign_2024"/>
    <x v="1"/>
    <s v="Traffic"/>
    <s v="North"/>
    <s v="Desktop"/>
    <s v="55+"/>
    <x v="0"/>
    <x v="0"/>
    <n v="2024"/>
    <n v="3710.81"/>
    <n v="343334"/>
    <n v="10738"/>
    <n v="412"/>
    <n v="3035.21"/>
    <n v="3.1275667425888489"/>
    <n v="0.28266064444030548"/>
    <n v="7.367014563106796"/>
    <n v="1.2225875639576833"/>
    <s v="🟢 High"/>
  </r>
  <r>
    <n v="144"/>
    <s v="Fa_Feed_Video_2023"/>
    <x v="2"/>
    <s v="Conversions"/>
    <s v="South"/>
    <s v="Tablet"/>
    <s v="55+"/>
    <x v="5"/>
    <x v="2"/>
    <n v="2023"/>
    <n v="12687.94"/>
    <n v="649274"/>
    <n v="9463"/>
    <n v="826"/>
    <n v="10290.94"/>
    <n v="1.4574740402357094"/>
    <n v="1.0874923385818451"/>
    <n v="12.458765133171914"/>
    <n v="1.2329233286755146"/>
    <s v="🔴 Low"/>
  </r>
  <r>
    <n v="145"/>
    <s v="Go_Shopping_2023"/>
    <x v="1"/>
    <s v="Lead Generation"/>
    <s v="Central"/>
    <s v="Tablet"/>
    <s v="55+"/>
    <x v="2"/>
    <x v="2"/>
    <n v="2023"/>
    <n v="16592.11"/>
    <n v="34751"/>
    <n v="1342"/>
    <n v="115"/>
    <n v="11799.57"/>
    <n v="3.861759373830969"/>
    <n v="8.7925260804769003"/>
    <n v="102.60495652173913"/>
    <n v="1.4061622584551812"/>
    <s v="🟢 High"/>
  </r>
  <r>
    <n v="146"/>
    <s v="Go_Smart_Campaign_2024"/>
    <x v="1"/>
    <s v="Traffic"/>
    <s v="North"/>
    <s v="Mobile"/>
    <s v="55+"/>
    <x v="5"/>
    <x v="2"/>
    <n v="2024"/>
    <n v="9917.42"/>
    <n v="723264"/>
    <n v="24554"/>
    <n v="544"/>
    <n v="7839.61"/>
    <n v="3.3948876205645515"/>
    <n v="0.31928036165186935"/>
    <n v="14.411047794117646"/>
    <n v="1.2650399701005535"/>
    <s v="🟢 High"/>
  </r>
  <r>
    <n v="147"/>
    <s v="Di_Banner_Standard_2023"/>
    <x v="0"/>
    <s v="Lead Generation"/>
    <s v="West"/>
    <s v="Mobile"/>
    <s v="45-54"/>
    <x v="4"/>
    <x v="1"/>
    <n v="2023"/>
    <n v="7133.76"/>
    <n v="155647"/>
    <n v="614"/>
    <n v="51"/>
    <n v="6859.3"/>
    <n v="0.39448238642569405"/>
    <n v="11.171498371335506"/>
    <n v="134.49607843137255"/>
    <n v="1.0400128292974502"/>
    <s v="🔴 Low"/>
  </r>
  <r>
    <n v="148"/>
    <s v="Fa_Carousel_2023"/>
    <x v="2"/>
    <s v="Conversions"/>
    <s v="Central"/>
    <s v="Tablet"/>
    <s v="18-24"/>
    <x v="2"/>
    <x v="2"/>
    <n v="2023"/>
    <n v="9596.2199999999993"/>
    <n v="285464"/>
    <n v="6666"/>
    <n v="543"/>
    <n v="6325.53"/>
    <n v="2.3351455875346803"/>
    <n v="0.94892439243924387"/>
    <n v="11.649226519337017"/>
    <n v="1.5170618114213354"/>
    <s v="🟡 Mid"/>
  </r>
  <r>
    <n v="149"/>
    <s v="Go_YouTube_PreRoll_2024"/>
    <x v="1"/>
    <s v="Retargeting"/>
    <s v="Central"/>
    <s v="Mobile"/>
    <s v="25-34"/>
    <x v="0"/>
    <x v="0"/>
    <n v="2024"/>
    <n v="18708.150000000001"/>
    <n v="761157"/>
    <n v="18832"/>
    <n v="1880"/>
    <n v="15269.3"/>
    <n v="2.4741282021974444"/>
    <n v="0.81081669498725573"/>
    <n v="8.1219680851063831"/>
    <n v="1.2252133365642173"/>
    <s v="🟡 Mid"/>
  </r>
  <r>
    <n v="150"/>
    <s v="Fa_Stories_2024"/>
    <x v="2"/>
    <s v="Retargeting"/>
    <s v="North"/>
    <s v="Desktop"/>
    <s v="45-54"/>
    <x v="10"/>
    <x v="1"/>
    <n v="2024"/>
    <n v="19350.39"/>
    <n v="230595"/>
    <n v="5496"/>
    <n v="586"/>
    <n v="12005.69"/>
    <n v="2.3833994665972811"/>
    <n v="2.1844414119359534"/>
    <n v="20.487525597269624"/>
    <n v="1.6117682532199313"/>
    <s v="🟡 Mid"/>
  </r>
  <r>
    <n v="151"/>
    <s v="Fa_Instant_Experience_2023"/>
    <x v="2"/>
    <s v="Traffic"/>
    <s v="West"/>
    <s v="Mobile"/>
    <s v="55+"/>
    <x v="8"/>
    <x v="0"/>
    <n v="2023"/>
    <n v="8903.09"/>
    <n v="282319"/>
    <n v="4179"/>
    <n v="87"/>
    <n v="6839.75"/>
    <n v="1.4802404372358926"/>
    <n v="1.6366953816702561"/>
    <n v="78.617816091954026"/>
    <n v="1.3016689206476846"/>
    <s v="🔴 Low"/>
  </r>
  <r>
    <n v="152"/>
    <s v="Di_Interstitial_2024"/>
    <x v="0"/>
    <s v="Conversions"/>
    <s v="Central"/>
    <s v="Mobile"/>
    <s v="18-24"/>
    <x v="1"/>
    <x v="1"/>
    <n v="2024"/>
    <n v="15405.88"/>
    <n v="298308"/>
    <n v="149"/>
    <n v="16"/>
    <n v="13276.19"/>
    <n v="4.9948375504512116E-2"/>
    <n v="89.101946308724834"/>
    <n v="829.76187500000003"/>
    <n v="1.1604142453520172"/>
    <s v="🔴 Low"/>
  </r>
  <r>
    <n v="153"/>
    <s v="Di_Rich_Media_2024"/>
    <x v="0"/>
    <s v="Lead Generation"/>
    <s v="North"/>
    <s v="Mobile"/>
    <s v="35-44"/>
    <x v="2"/>
    <x v="2"/>
    <n v="2024"/>
    <n v="15221.82"/>
    <n v="213727"/>
    <n v="630"/>
    <n v="26"/>
    <n v="9381.8799999999992"/>
    <n v="0.2947685598918246"/>
    <n v="14.891873015873015"/>
    <n v="360.84153846153845"/>
    <n v="1.6224701232588778"/>
    <s v="🔴 Low"/>
  </r>
  <r>
    <n v="154"/>
    <s v="Di_Retargeting_Display_2023"/>
    <x v="0"/>
    <s v="Retargeting"/>
    <s v="Central"/>
    <s v="Mobile"/>
    <s v="25-34"/>
    <x v="9"/>
    <x v="3"/>
    <n v="2023"/>
    <n v="6895.33"/>
    <n v="647848"/>
    <n v="2565"/>
    <n v="219"/>
    <n v="5275.21"/>
    <n v="0.39592620491226338"/>
    <n v="2.0566120857699803"/>
    <n v="24.08771689497717"/>
    <n v="1.3071195269951339"/>
    <s v="🔴 Low"/>
  </r>
  <r>
    <n v="155"/>
    <s v="Di_Programmatic_2024"/>
    <x v="0"/>
    <s v="Traffic"/>
    <s v="East"/>
    <s v="Tablet"/>
    <s v="55+"/>
    <x v="10"/>
    <x v="1"/>
    <n v="2024"/>
    <n v="14320.43"/>
    <n v="319353"/>
    <n v="1946"/>
    <n v="38"/>
    <n v="9251.48"/>
    <n v="0.60935704377287825"/>
    <n v="4.7541007194244598"/>
    <n v="243.45999999999998"/>
    <n v="1.5479069294858769"/>
    <s v="🔴 Low"/>
  </r>
  <r>
    <n v="156"/>
    <s v="Fa_Stories_2023"/>
    <x v="2"/>
    <s v="Brand Awareness"/>
    <s v="Central"/>
    <s v="Mobile"/>
    <s v="35-44"/>
    <x v="3"/>
    <x v="3"/>
    <n v="2023"/>
    <n v="14567.3"/>
    <n v="616868"/>
    <n v="9958"/>
    <n v="121"/>
    <n v="11947.77"/>
    <n v="1.6142837689748859"/>
    <n v="1.1998162281582647"/>
    <n v="98.741900826446283"/>
    <n v="1.2192484455258177"/>
    <s v="🟡 Mid"/>
  </r>
  <r>
    <n v="157"/>
    <s v="Di_Video_Display_2023"/>
    <x v="0"/>
    <s v="Lead Generation"/>
    <s v="South"/>
    <s v="Desktop"/>
    <s v="55+"/>
    <x v="6"/>
    <x v="3"/>
    <n v="2023"/>
    <n v="4220.29"/>
    <n v="467462"/>
    <n v="2750"/>
    <n v="223"/>
    <n v="3259.58"/>
    <n v="0.58828311178234804"/>
    <n v="1.1853018181818182"/>
    <n v="14.616950672645739"/>
    <n v="1.2947342909209163"/>
    <s v="🔴 Low"/>
  </r>
  <r>
    <n v="158"/>
    <s v="Di_Responsive_2024"/>
    <x v="0"/>
    <s v="Brand Awareness"/>
    <s v="South"/>
    <s v="Tablet"/>
    <s v="25-34"/>
    <x v="10"/>
    <x v="1"/>
    <n v="2024"/>
    <n v="19963.400000000001"/>
    <n v="506608"/>
    <n v="4883"/>
    <n v="62"/>
    <n v="14608.74"/>
    <n v="0.96386160502795049"/>
    <n v="2.9917550686053653"/>
    <n v="235.62483870967742"/>
    <n v="1.366538113485489"/>
    <s v="🔴 Low"/>
  </r>
  <r>
    <n v="159"/>
    <s v="Go_Discovery_2024"/>
    <x v="1"/>
    <s v="Traffic"/>
    <s v="East"/>
    <s v="Tablet"/>
    <s v="35-44"/>
    <x v="3"/>
    <x v="3"/>
    <n v="2024"/>
    <n v="12396.49"/>
    <n v="206603"/>
    <n v="6590"/>
    <n v="124"/>
    <n v="12339.76"/>
    <n v="3.1896923084369542"/>
    <n v="1.8724977238239757"/>
    <n v="99.514193548387098"/>
    <n v="1.0045973341458829"/>
    <s v="🟢 High"/>
  </r>
  <r>
    <n v="160"/>
    <s v="Fa_Stories_2024"/>
    <x v="2"/>
    <s v="Lead Generation"/>
    <s v="West"/>
    <s v="Mobile"/>
    <s v="45-54"/>
    <x v="2"/>
    <x v="2"/>
    <n v="2024"/>
    <n v="6111.89"/>
    <n v="606334"/>
    <n v="9051"/>
    <n v="729"/>
    <n v="4641.8100000000004"/>
    <n v="1.4927416242532994"/>
    <n v="0.51285051375538615"/>
    <n v="6.3673662551440335"/>
    <n v="1.316704044327536"/>
    <s v="🔴 Low"/>
  </r>
  <r>
    <n v="161"/>
    <s v="Fa_Lead_Form_2023"/>
    <x v="2"/>
    <s v="Lead Generation"/>
    <s v="East"/>
    <s v="Desktop"/>
    <s v="35-44"/>
    <x v="6"/>
    <x v="3"/>
    <n v="2023"/>
    <n v="7254.09"/>
    <n v="468864"/>
    <n v="5335"/>
    <n v="281"/>
    <n v="6874.99"/>
    <n v="1.1378566066066065"/>
    <n v="1.2886579194001875"/>
    <n v="24.466156583629893"/>
    <n v="1.0551418983882159"/>
    <s v="🔴 Low"/>
  </r>
  <r>
    <n v="162"/>
    <s v="Fa_Stories_2023"/>
    <x v="2"/>
    <s v="Lead Generation"/>
    <s v="North"/>
    <s v="Tablet"/>
    <s v="55+"/>
    <x v="11"/>
    <x v="2"/>
    <n v="2023"/>
    <n v="1489.93"/>
    <n v="561837"/>
    <n v="5119"/>
    <n v="274"/>
    <n v="1039.6600000000001"/>
    <n v="0.91111834927211988"/>
    <n v="0.20309826137917564"/>
    <n v="3.7943795620437961"/>
    <n v="1.4330935113402459"/>
    <s v="🔴 Low"/>
  </r>
  <r>
    <n v="163"/>
    <s v="Go_Smart_Campaign_2023"/>
    <x v="1"/>
    <s v="Conversions"/>
    <s v="West"/>
    <s v="Desktop"/>
    <s v="25-34"/>
    <x v="8"/>
    <x v="0"/>
    <n v="2023"/>
    <n v="8434.7000000000007"/>
    <n v="503807"/>
    <n v="12443"/>
    <n v="1461"/>
    <n v="6198.58"/>
    <n v="2.4697949810145552"/>
    <n v="0.49815800048219883"/>
    <n v="4.242696783025325"/>
    <n v="1.3607471388608361"/>
    <s v="🟡 Mid"/>
  </r>
  <r>
    <n v="164"/>
    <s v="Di_Banner_Standard_2023"/>
    <x v="0"/>
    <s v="Brand Awareness"/>
    <s v="Central"/>
    <s v="Desktop"/>
    <s v="55+"/>
    <x v="6"/>
    <x v="3"/>
    <n v="2023"/>
    <n v="18307.98"/>
    <n v="188568"/>
    <n v="1408"/>
    <n v="15"/>
    <n v="17425.43"/>
    <n v="0.74668024267107891"/>
    <n v="12.376015625000001"/>
    <n v="1161.6953333333333"/>
    <n v="1.0506472437122067"/>
    <s v="🔴 Low"/>
  </r>
  <r>
    <n v="165"/>
    <s v="Go_Smart_Campaign_2023"/>
    <x v="1"/>
    <s v="Retargeting"/>
    <s v="South"/>
    <s v="Tablet"/>
    <s v="35-44"/>
    <x v="8"/>
    <x v="0"/>
    <n v="2023"/>
    <n v="6318.65"/>
    <n v="637063"/>
    <n v="24941"/>
    <n v="2064"/>
    <n v="6416.09"/>
    <n v="3.9149974178377964"/>
    <n v="0.25725071167956376"/>
    <n v="3.1085707364341086"/>
    <n v="0.98481318061311474"/>
    <s v="🟢 High"/>
  </r>
  <r>
    <n v="166"/>
    <s v="Di_Responsive_2023"/>
    <x v="0"/>
    <s v="Lead Generation"/>
    <s v="Central"/>
    <s v="Mobile"/>
    <s v="35-44"/>
    <x v="11"/>
    <x v="2"/>
    <n v="2023"/>
    <n v="6948.34"/>
    <n v="771634"/>
    <n v="12276"/>
    <n v="829"/>
    <n v="4919.78"/>
    <n v="1.5909096799778133"/>
    <n v="0.40076409253828604"/>
    <n v="5.9345958986731002"/>
    <n v="1.4123273804926237"/>
    <s v="🟡 Mid"/>
  </r>
  <r>
    <n v="167"/>
    <s v="Go_Search_Brand_2024"/>
    <x v="1"/>
    <s v="Conversions"/>
    <s v="East"/>
    <s v="Tablet"/>
    <s v="25-34"/>
    <x v="0"/>
    <x v="0"/>
    <n v="2024"/>
    <n v="16626.3"/>
    <n v="545310"/>
    <n v="13970"/>
    <n v="791"/>
    <n v="16830.93"/>
    <n v="2.5618455557389375"/>
    <n v="1.2047909806728705"/>
    <n v="21.278040455120102"/>
    <n v="0.98784202655468234"/>
    <s v="🟡 Mid"/>
  </r>
  <r>
    <n v="168"/>
    <s v="Fa_Lead_Form_2024"/>
    <x v="2"/>
    <s v="Lead Generation"/>
    <s v="North"/>
    <s v="Mobile"/>
    <s v="45-54"/>
    <x v="11"/>
    <x v="2"/>
    <n v="2024"/>
    <n v="15198.25"/>
    <n v="350637"/>
    <n v="7176"/>
    <n v="417"/>
    <n v="13733.3"/>
    <n v="2.0465609733142824"/>
    <n v="1.9137820512820511"/>
    <n v="32.933573141486811"/>
    <n v="1.1066713754159598"/>
    <s v="🟡 Mid"/>
  </r>
  <r>
    <n v="169"/>
    <s v="Go_YouTube_PreRoll_2024"/>
    <x v="1"/>
    <s v="Conversions"/>
    <s v="South"/>
    <s v="Desktop"/>
    <s v="18-24"/>
    <x v="4"/>
    <x v="1"/>
    <n v="2024"/>
    <n v="3614.48"/>
    <n v="724400"/>
    <n v="12592"/>
    <n v="1249"/>
    <n v="2640.78"/>
    <n v="1.7382661512976256"/>
    <n v="0.20971886912325288"/>
    <n v="2.1143154523618897"/>
    <n v="1.3687168185157415"/>
    <s v="🟡 Mid"/>
  </r>
  <r>
    <n v="170"/>
    <s v="Go_YouTube_PreRoll_2024"/>
    <x v="1"/>
    <s v="Conversions"/>
    <s v="Central"/>
    <s v="Desktop"/>
    <s v="25-34"/>
    <x v="0"/>
    <x v="0"/>
    <n v="2024"/>
    <n v="3487.12"/>
    <n v="789056"/>
    <n v="21960"/>
    <n v="2618"/>
    <n v="2639.48"/>
    <n v="2.7830724308540842"/>
    <n v="0.12019489981785064"/>
    <n v="1.0082047364400306"/>
    <n v="1.3211390122296816"/>
    <s v="🟡 Mid"/>
  </r>
  <r>
    <n v="171"/>
    <s v="Di_Responsive_2024"/>
    <x v="0"/>
    <s v="Traffic"/>
    <s v="South"/>
    <s v="Desktop"/>
    <s v="55+"/>
    <x v="7"/>
    <x v="0"/>
    <n v="2024"/>
    <n v="10799.38"/>
    <n v="384358"/>
    <n v="4875"/>
    <n v="57"/>
    <n v="8963.6200000000008"/>
    <n v="1.2683487790029087"/>
    <n v="1.8386912820512822"/>
    <n v="157.25649122807019"/>
    <n v="1.2048011852354292"/>
    <s v="🔴 Low"/>
  </r>
  <r>
    <n v="172"/>
    <s v="Di_Interstitial_2024"/>
    <x v="0"/>
    <s v="Traffic"/>
    <s v="Central"/>
    <s v="Desktop"/>
    <s v="25-34"/>
    <x v="2"/>
    <x v="2"/>
    <n v="2024"/>
    <n v="2766.68"/>
    <n v="220379"/>
    <n v="2211"/>
    <n v="69"/>
    <n v="2228.0300000000002"/>
    <n v="1.0032716365896932"/>
    <n v="1.0077023971053822"/>
    <n v="32.290289855072466"/>
    <n v="1.2417606585189604"/>
    <s v="🔴 Low"/>
  </r>
  <r>
    <n v="173"/>
    <s v="Di_Responsive_2024"/>
    <x v="0"/>
    <s v="Brand Awareness"/>
    <s v="West"/>
    <s v="Desktop"/>
    <s v="55+"/>
    <x v="1"/>
    <x v="1"/>
    <n v="2024"/>
    <n v="11496.27"/>
    <n v="590941"/>
    <n v="295"/>
    <n v="4"/>
    <n v="8809.57"/>
    <n v="4.9920381222490914E-2"/>
    <n v="29.86294915254237"/>
    <n v="2202.3924999999999"/>
    <n v="1.3049751576978219"/>
    <s v="🔴 Low"/>
  </r>
  <r>
    <n v="174"/>
    <s v="Go_PMax_2023"/>
    <x v="1"/>
    <s v="Traffic"/>
    <s v="North"/>
    <s v="Desktop"/>
    <s v="45-54"/>
    <x v="2"/>
    <x v="2"/>
    <n v="2023"/>
    <n v="11052.69"/>
    <n v="68182"/>
    <n v="2053"/>
    <n v="78"/>
    <n v="6952.01"/>
    <n v="3.0110586371769674"/>
    <n v="3.3862688748173406"/>
    <n v="89.12833333333333"/>
    <n v="1.5898553080332163"/>
    <s v="🟢 High"/>
  </r>
  <r>
    <n v="175"/>
    <s v="Fa_Feed_Image_2024"/>
    <x v="2"/>
    <s v="Conversions"/>
    <s v="West"/>
    <s v="Desktop"/>
    <s v="25-34"/>
    <x v="3"/>
    <x v="3"/>
    <n v="2024"/>
    <n v="7801.99"/>
    <n v="406058"/>
    <n v="2200"/>
    <n v="168"/>
    <n v="4944.16"/>
    <n v="0.54179452196484246"/>
    <n v="2.2473454545454543"/>
    <n v="29.429523809523808"/>
    <n v="1.5780213423513803"/>
    <s v="🔴 Low"/>
  </r>
  <r>
    <n v="176"/>
    <s v="Di_Native_2023"/>
    <x v="0"/>
    <s v="Conversions"/>
    <s v="North"/>
    <s v="Desktop"/>
    <s v="55+"/>
    <x v="1"/>
    <x v="1"/>
    <n v="2023"/>
    <n v="14693.23"/>
    <n v="238507"/>
    <n v="2515"/>
    <n v="272"/>
    <n v="13482.44"/>
    <n v="1.0544763885336699"/>
    <n v="5.3608111332007953"/>
    <n v="49.567794117647061"/>
    <n v="1.0898049611197973"/>
    <s v="🔴 Low"/>
  </r>
  <r>
    <n v="177"/>
    <s v="Fa_Instant_Experience_2023"/>
    <x v="2"/>
    <s v="Traffic"/>
    <s v="West"/>
    <s v="Tablet"/>
    <s v="45-54"/>
    <x v="11"/>
    <x v="2"/>
    <n v="2023"/>
    <n v="9482.19"/>
    <n v="167656"/>
    <n v="2365"/>
    <n v="75"/>
    <n v="6138.72"/>
    <n v="1.410626520971513"/>
    <n v="2.5956532769556024"/>
    <n v="81.849600000000009"/>
    <n v="1.5446526311674096"/>
    <s v="🔴 Low"/>
  </r>
  <r>
    <n v="178"/>
    <s v="Di_Video_Display_2023"/>
    <x v="0"/>
    <s v="Traffic"/>
    <s v="North"/>
    <s v="Desktop"/>
    <s v="25-34"/>
    <x v="7"/>
    <x v="0"/>
    <n v="2023"/>
    <n v="12081.91"/>
    <n v="473127"/>
    <n v="8808"/>
    <n v="246"/>
    <n v="10817.9"/>
    <n v="1.8616565953750261"/>
    <n v="1.2281902815622161"/>
    <n v="43.975203252032522"/>
    <n v="1.1168443043474241"/>
    <s v="🟡 Mid"/>
  </r>
  <r>
    <n v="179"/>
    <s v="Go_PMax_2023"/>
    <x v="1"/>
    <s v="Brand Awareness"/>
    <s v="West"/>
    <s v="Mobile"/>
    <s v="25-34"/>
    <x v="10"/>
    <x v="1"/>
    <n v="2023"/>
    <n v="15210.52"/>
    <n v="64185"/>
    <n v="2445"/>
    <n v="20"/>
    <n v="14980.64"/>
    <n v="3.809301238607151"/>
    <n v="6.1270511247443764"/>
    <n v="749.03199999999993"/>
    <n v="1.0153451387924681"/>
    <s v="🟢 High"/>
  </r>
  <r>
    <n v="180"/>
    <s v="Di_Retargeting_Display_2024"/>
    <x v="0"/>
    <s v="Traffic"/>
    <s v="Central"/>
    <s v="Tablet"/>
    <s v="35-44"/>
    <x v="11"/>
    <x v="2"/>
    <n v="2024"/>
    <n v="17587.04"/>
    <n v="697282"/>
    <n v="13410"/>
    <n v="343"/>
    <n v="13607.01"/>
    <n v="1.9231817256146004"/>
    <n v="1.0146912751677852"/>
    <n v="39.670583090379012"/>
    <n v="1.2924984989354753"/>
    <s v="🟡 Mid"/>
  </r>
  <r>
    <n v="181"/>
    <s v="Fa_Feed_Image_2024"/>
    <x v="2"/>
    <s v="Traffic"/>
    <s v="Central"/>
    <s v="Tablet"/>
    <s v="25-34"/>
    <x v="3"/>
    <x v="3"/>
    <n v="2024"/>
    <n v="11339.09"/>
    <n v="54161"/>
    <n v="1502"/>
    <n v="45"/>
    <n v="10545.78"/>
    <n v="2.7732131976883738"/>
    <n v="7.0211584553928104"/>
    <n v="234.35066666666668"/>
    <n v="1.0752253508038285"/>
    <s v="🟡 Mid"/>
  </r>
  <r>
    <n v="182"/>
    <s v="Fa_Messenger_2024"/>
    <x v="2"/>
    <s v="Retargeting"/>
    <s v="South"/>
    <s v="Mobile"/>
    <s v="45-54"/>
    <x v="0"/>
    <x v="0"/>
    <n v="2024"/>
    <n v="5198.88"/>
    <n v="241290"/>
    <n v="3362"/>
    <n v="282"/>
    <n v="4664.34"/>
    <n v="1.3933441087488083"/>
    <n v="1.3873706127305176"/>
    <n v="16.540212765957449"/>
    <n v="1.1146014227093222"/>
    <s v="🔴 Low"/>
  </r>
  <r>
    <n v="183"/>
    <s v="Fa_Feed_Image_2023"/>
    <x v="2"/>
    <s v="Traffic"/>
    <s v="West"/>
    <s v="Mobile"/>
    <s v="55+"/>
    <x v="10"/>
    <x v="1"/>
    <n v="2023"/>
    <n v="8074.17"/>
    <n v="272382"/>
    <n v="4925"/>
    <n v="185"/>
    <n v="7717.26"/>
    <n v="1.8081224163123848"/>
    <n v="1.5669563451776649"/>
    <n v="41.714918918918919"/>
    <n v="1.0462482798298878"/>
    <s v="🟡 Mid"/>
  </r>
  <r>
    <n v="184"/>
    <s v="Go_PMax_2023"/>
    <x v="1"/>
    <s v="Brand Awareness"/>
    <s v="East"/>
    <s v="Mobile"/>
    <s v="55+"/>
    <x v="9"/>
    <x v="3"/>
    <n v="2023"/>
    <n v="17535.599999999999"/>
    <n v="202303"/>
    <n v="7061"/>
    <n v="120"/>
    <n v="14848.89"/>
    <n v="3.4903090908192165"/>
    <n v="2.1029443421611669"/>
    <n v="123.74074999999999"/>
    <n v="1.1809367568888987"/>
    <s v="🟢 High"/>
  </r>
  <r>
    <n v="185"/>
    <s v="Di_Interstitial_2023"/>
    <x v="0"/>
    <s v="Retargeting"/>
    <s v="South"/>
    <s v="Mobile"/>
    <s v="35-44"/>
    <x v="8"/>
    <x v="0"/>
    <n v="2023"/>
    <n v="18774.62"/>
    <n v="782493"/>
    <n v="16886"/>
    <n v="1660"/>
    <n v="13177.7"/>
    <n v="2.1579745761303935"/>
    <n v="0.78039204074381152"/>
    <n v="7.9383734939759041"/>
    <n v="1.4247266214893342"/>
    <s v="🟡 Mid"/>
  </r>
  <r>
    <n v="186"/>
    <s v="Di_Interstitial_2024"/>
    <x v="0"/>
    <s v="Retargeting"/>
    <s v="South"/>
    <s v="Tablet"/>
    <s v="35-44"/>
    <x v="5"/>
    <x v="2"/>
    <n v="2024"/>
    <n v="9591.8799999999992"/>
    <n v="685233"/>
    <n v="13866"/>
    <n v="1230"/>
    <n v="6808.85"/>
    <n v="2.0235452758404806"/>
    <n v="0.49104644454060292"/>
    <n v="5.5356504065040655"/>
    <n v="1.4087371582572679"/>
    <s v="🟡 Mid"/>
  </r>
  <r>
    <n v="187"/>
    <s v="Di_Responsive_2023"/>
    <x v="0"/>
    <s v="Retargeting"/>
    <s v="North"/>
    <s v="Tablet"/>
    <s v="45-54"/>
    <x v="2"/>
    <x v="2"/>
    <n v="2023"/>
    <n v="7728.75"/>
    <n v="439037"/>
    <n v="7279"/>
    <n v="868"/>
    <n v="4689.8999999999996"/>
    <n v="1.6579468245273177"/>
    <n v="0.6443055364747905"/>
    <n v="5.4031105990783406"/>
    <n v="1.6479562464018425"/>
    <s v="🟡 Mid"/>
  </r>
  <r>
    <n v="188"/>
    <s v="Di_Video_Display_2024"/>
    <x v="0"/>
    <s v="Conversions"/>
    <s v="South"/>
    <s v="Desktop"/>
    <s v="35-44"/>
    <x v="11"/>
    <x v="2"/>
    <n v="2024"/>
    <n v="11610.9"/>
    <n v="262666"/>
    <n v="2582"/>
    <n v="219"/>
    <n v="10158.790000000001"/>
    <n v="0.98299741877517444"/>
    <n v="3.9344655305964373"/>
    <n v="46.387168949771691"/>
    <n v="1.142941236111781"/>
    <s v="🔴 Low"/>
  </r>
  <r>
    <n v="189"/>
    <s v="Di_Retargeting_Display_2023"/>
    <x v="0"/>
    <s v="Conversions"/>
    <s v="West"/>
    <s v="Tablet"/>
    <s v="45-54"/>
    <x v="4"/>
    <x v="1"/>
    <n v="2023"/>
    <n v="14789.06"/>
    <n v="374283"/>
    <n v="4071"/>
    <n v="342"/>
    <n v="14568.67"/>
    <n v="1.0876796434783307"/>
    <n v="3.5786465241955292"/>
    <n v="42.598450292397658"/>
    <n v="1.0151276677967171"/>
    <s v="🔴 Low"/>
  </r>
  <r>
    <n v="190"/>
    <s v="Di_Banner_Standard_2024"/>
    <x v="0"/>
    <s v="Traffic"/>
    <s v="North"/>
    <s v="Desktop"/>
    <s v="18-24"/>
    <x v="8"/>
    <x v="0"/>
    <n v="2024"/>
    <n v="3181.08"/>
    <n v="666338"/>
    <n v="9313"/>
    <n v="157"/>
    <n v="2853.46"/>
    <n v="1.3976390360447701"/>
    <n v="0.30639536132288198"/>
    <n v="18.174904458598725"/>
    <n v="1.1148149965305278"/>
    <s v="🔴 Low"/>
  </r>
  <r>
    <n v="191"/>
    <s v="Go_PMax_2024"/>
    <x v="1"/>
    <s v="Traffic"/>
    <s v="West"/>
    <s v="Mobile"/>
    <s v="18-24"/>
    <x v="9"/>
    <x v="3"/>
    <n v="2024"/>
    <n v="13356.04"/>
    <n v="21495"/>
    <n v="737"/>
    <n v="7"/>
    <n v="10983.41"/>
    <n v="3.4287043498488017"/>
    <n v="14.902862957937584"/>
    <n v="1569.0585714285714"/>
    <n v="1.2160194329447778"/>
    <s v="🟢 High"/>
  </r>
  <r>
    <n v="192"/>
    <s v="Fa_Stories_2023"/>
    <x v="2"/>
    <s v="Brand Awareness"/>
    <s v="Central"/>
    <s v="Tablet"/>
    <s v="45-54"/>
    <x v="0"/>
    <x v="0"/>
    <n v="2023"/>
    <n v="18401.95"/>
    <n v="554857"/>
    <n v="9023"/>
    <n v="65"/>
    <n v="12524.58"/>
    <n v="1.6261847647231629"/>
    <n v="1.3880727030920981"/>
    <n v="192.68584615384614"/>
    <n v="1.469266833698216"/>
    <s v="🟡 Mid"/>
  </r>
  <r>
    <n v="193"/>
    <s v="Di_Programmatic_2024"/>
    <x v="0"/>
    <s v="Conversions"/>
    <s v="East"/>
    <s v="Mobile"/>
    <s v="18-24"/>
    <x v="2"/>
    <x v="2"/>
    <n v="2024"/>
    <n v="9450.4599999999991"/>
    <n v="260021"/>
    <n v="2748"/>
    <n v="268"/>
    <n v="9035.6200000000008"/>
    <n v="1.0568377169536307"/>
    <n v="3.2880713245997093"/>
    <n v="33.715000000000003"/>
    <n v="1.0459116253228886"/>
    <s v="🔴 Low"/>
  </r>
  <r>
    <n v="194"/>
    <s v="Di_Banner_Standard_2024"/>
    <x v="0"/>
    <s v="Brand Awareness"/>
    <s v="West"/>
    <s v="Mobile"/>
    <s v="45-54"/>
    <x v="10"/>
    <x v="1"/>
    <n v="2024"/>
    <n v="1594.24"/>
    <n v="14909"/>
    <n v="101"/>
    <n v="1"/>
    <n v="1011.91"/>
    <n v="0.67744315514118991"/>
    <n v="10.018910891089108"/>
    <n v="1011.91"/>
    <n v="1.5754760798885277"/>
    <s v="🔴 Low"/>
  </r>
  <r>
    <n v="195"/>
    <s v="Fa_Lead_Form_2023"/>
    <x v="2"/>
    <s v="Traffic"/>
    <s v="North"/>
    <s v="Tablet"/>
    <s v="18-24"/>
    <x v="11"/>
    <x v="2"/>
    <n v="2023"/>
    <n v="18074.82"/>
    <n v="730916"/>
    <n v="14852"/>
    <n v="169"/>
    <n v="11409.3"/>
    <n v="2.0319708420666669"/>
    <n v="0.76819956908160514"/>
    <n v="67.510650887573959"/>
    <n v="1.5842181378349243"/>
    <s v="🟡 Mid"/>
  </r>
  <r>
    <n v="196"/>
    <s v="Fa_Feed_Image_2023"/>
    <x v="2"/>
    <s v="Lead Generation"/>
    <s v="East"/>
    <s v="Desktop"/>
    <s v="25-34"/>
    <x v="9"/>
    <x v="3"/>
    <n v="2023"/>
    <n v="15168.96"/>
    <n v="752332"/>
    <n v="9263"/>
    <n v="826"/>
    <n v="15019.2"/>
    <n v="1.2312383362664354"/>
    <n v="1.6214185469070497"/>
    <n v="18.183050847457629"/>
    <n v="1.0099712368168743"/>
    <s v="🔴 Low"/>
  </r>
  <r>
    <n v="197"/>
    <s v="Fa_Carousel_2024"/>
    <x v="2"/>
    <s v="Traffic"/>
    <s v="South"/>
    <s v="Tablet"/>
    <s v="45-54"/>
    <x v="3"/>
    <x v="3"/>
    <n v="2024"/>
    <n v="7985"/>
    <n v="780679"/>
    <n v="19927"/>
    <n v="632"/>
    <n v="6470.51"/>
    <n v="2.5525215869774902"/>
    <n v="0.32471069403322128"/>
    <n v="10.238148734177216"/>
    <n v="1.2340603754572668"/>
    <s v="🟡 Mid"/>
  </r>
  <r>
    <n v="198"/>
    <s v="Fa_Feed_Image_2024"/>
    <x v="2"/>
    <s v="Brand Awareness"/>
    <s v="West"/>
    <s v="Desktop"/>
    <s v="18-24"/>
    <x v="2"/>
    <x v="2"/>
    <n v="2024"/>
    <n v="19393.95"/>
    <n v="347230"/>
    <n v="9551"/>
    <n v="51"/>
    <n v="13862.74"/>
    <n v="2.7506263859689541"/>
    <n v="1.451443827871427"/>
    <n v="271.81843137254901"/>
    <n v="1.3989983221210238"/>
    <s v="🟡 Mid"/>
  </r>
  <r>
    <n v="199"/>
    <s v="Fa_Instant_Experience_2023"/>
    <x v="2"/>
    <s v="Lead Generation"/>
    <s v="East"/>
    <s v="Tablet"/>
    <s v="45-54"/>
    <x v="1"/>
    <x v="1"/>
    <n v="2023"/>
    <n v="13754.05"/>
    <n v="697764"/>
    <n v="6788"/>
    <n v="391"/>
    <n v="9676.1"/>
    <n v="0.97282175635315082"/>
    <n v="1.4254714201532117"/>
    <n v="24.747058823529414"/>
    <n v="1.4214456237533717"/>
    <s v="🔴 Low"/>
  </r>
  <r>
    <n v="200"/>
    <s v="Go_Search_Generic_2024"/>
    <x v="1"/>
    <s v="Conversions"/>
    <s v="South"/>
    <s v="Mobile"/>
    <s v="25-34"/>
    <x v="6"/>
    <x v="3"/>
    <n v="2024"/>
    <n v="6675.23"/>
    <n v="116726"/>
    <n v="3955"/>
    <n v="223"/>
    <n v="6648.82"/>
    <n v="3.3882768192176553"/>
    <n v="1.6811175726927938"/>
    <n v="29.815336322869953"/>
    <n v="1.0039721334011147"/>
    <s v="🟢 High"/>
  </r>
  <r>
    <n v="201"/>
    <s v="Fa_Lead_Form_2024"/>
    <x v="2"/>
    <s v="Conversions"/>
    <s v="North"/>
    <s v="Desktop"/>
    <s v="18-24"/>
    <x v="0"/>
    <x v="0"/>
    <n v="2024"/>
    <n v="9252.4500000000007"/>
    <n v="586687"/>
    <n v="8021"/>
    <n v="451"/>
    <n v="7705.18"/>
    <n v="1.3671685242727383"/>
    <n v="0.96062585712504678"/>
    <n v="17.084656319290467"/>
    <n v="1.2008090661087736"/>
    <s v="🔴 Low"/>
  </r>
  <r>
    <n v="202"/>
    <s v="Di_Retargeting_Display_2023"/>
    <x v="0"/>
    <s v="Retargeting"/>
    <s v="North"/>
    <s v="Mobile"/>
    <s v="45-54"/>
    <x v="1"/>
    <x v="1"/>
    <n v="2023"/>
    <n v="14634.45"/>
    <n v="591716"/>
    <n v="4034"/>
    <n v="534"/>
    <n v="14792.98"/>
    <n v="0.68174597273016113"/>
    <n v="3.6670748636588995"/>
    <n v="27.702209737827715"/>
    <n v="0.98928343038387134"/>
    <s v="🔴 Low"/>
  </r>
  <r>
    <n v="203"/>
    <s v="Di_Native_2024"/>
    <x v="0"/>
    <s v="Retargeting"/>
    <s v="South"/>
    <s v="Desktop"/>
    <s v="35-44"/>
    <x v="5"/>
    <x v="2"/>
    <n v="2024"/>
    <n v="10115.92"/>
    <n v="71340"/>
    <n v="641"/>
    <n v="53"/>
    <n v="9394.86"/>
    <n v="0.89851415755536868"/>
    <n v="14.656567862714509"/>
    <n v="177.26150943396229"/>
    <n v="1.0767504784531114"/>
    <s v="🔴 Low"/>
  </r>
  <r>
    <n v="204"/>
    <s v="Fa_Stories_2024"/>
    <x v="2"/>
    <s v="Lead Generation"/>
    <s v="West"/>
    <s v="Tablet"/>
    <s v="55+"/>
    <x v="11"/>
    <x v="2"/>
    <n v="2024"/>
    <n v="2585.96"/>
    <n v="324457"/>
    <n v="6322"/>
    <n v="255"/>
    <n v="1981.34"/>
    <n v="1.9484862400872844"/>
    <n v="0.3134039860803543"/>
    <n v="7.7699607843137253"/>
    <n v="1.3051571158912656"/>
    <s v="🟡 Mid"/>
  </r>
  <r>
    <n v="205"/>
    <s v="Di_Video_Display_2023"/>
    <x v="0"/>
    <s v="Conversions"/>
    <s v="West"/>
    <s v="Mobile"/>
    <s v="45-54"/>
    <x v="3"/>
    <x v="3"/>
    <n v="2023"/>
    <n v="6358.49"/>
    <n v="637512"/>
    <n v="6481"/>
    <n v="466"/>
    <n v="6391.05"/>
    <n v="1.0166083148238778"/>
    <n v="0.98612096898626755"/>
    <n v="13.714699570815451"/>
    <n v="0.9949053754860312"/>
    <s v="🔴 Low"/>
  </r>
  <r>
    <n v="206"/>
    <s v="Fa_Stories_2024"/>
    <x v="2"/>
    <s v="Retargeting"/>
    <s v="Central"/>
    <s v="Desktop"/>
    <s v="35-44"/>
    <x v="1"/>
    <x v="1"/>
    <n v="2024"/>
    <n v="16421.64"/>
    <n v="417022"/>
    <n v="6218"/>
    <n v="554"/>
    <n v="16281.53"/>
    <n v="1.4910484338955738"/>
    <n v="2.6184512705049858"/>
    <n v="29.389043321299638"/>
    <n v="1.0086054566124927"/>
    <s v="🔴 Low"/>
  </r>
  <r>
    <n v="207"/>
    <s v="Go_Shopping_2023"/>
    <x v="1"/>
    <s v="Traffic"/>
    <s v="North"/>
    <s v="Tablet"/>
    <s v="45-54"/>
    <x v="6"/>
    <x v="3"/>
    <n v="2023"/>
    <n v="9049.8700000000008"/>
    <n v="310482"/>
    <n v="8980"/>
    <n v="318"/>
    <n v="8451.85"/>
    <n v="2.892277169046837"/>
    <n v="0.94118596881959915"/>
    <n v="26.578144654088053"/>
    <n v="1.0707561066512066"/>
    <s v="🟡 Mid"/>
  </r>
  <r>
    <n v="208"/>
    <s v="Di_Responsive_2023"/>
    <x v="0"/>
    <s v="Lead Generation"/>
    <s v="East"/>
    <s v="Desktop"/>
    <s v="35-44"/>
    <x v="3"/>
    <x v="3"/>
    <n v="2023"/>
    <n v="14447.11"/>
    <n v="400303"/>
    <n v="2141"/>
    <n v="95"/>
    <n v="14679.63"/>
    <n v="0.5348448550223206"/>
    <n v="6.8564362447454457"/>
    <n v="154.52242105263156"/>
    <n v="0.98416036371488935"/>
    <s v="🔴 Low"/>
  </r>
  <r>
    <n v="209"/>
    <s v="Fa_Messenger_2023"/>
    <x v="2"/>
    <s v="Traffic"/>
    <s v="Central"/>
    <s v="Tablet"/>
    <s v="45-54"/>
    <x v="10"/>
    <x v="1"/>
    <n v="2023"/>
    <n v="15919.06"/>
    <n v="381993"/>
    <n v="5066"/>
    <n v="140"/>
    <n v="15665.13"/>
    <n v="1.3262023126078226"/>
    <n v="3.092208843268851"/>
    <n v="111.89378571428571"/>
    <n v="1.0162098878209118"/>
    <s v="🔴 Low"/>
  </r>
  <r>
    <n v="210"/>
    <s v="Go_PMax_2024"/>
    <x v="1"/>
    <s v="Conversions"/>
    <s v="South"/>
    <s v="Tablet"/>
    <s v="55+"/>
    <x v="8"/>
    <x v="0"/>
    <n v="2024"/>
    <n v="19352.82"/>
    <n v="352704"/>
    <n v="6797"/>
    <n v="799"/>
    <n v="15110.51"/>
    <n v="1.9271116857194701"/>
    <n v="2.223114609386494"/>
    <n v="18.911777221526908"/>
    <n v="1.2807522711013724"/>
    <s v="🟡 Mid"/>
  </r>
  <r>
    <n v="211"/>
    <s v="Go_Search_Generic_2023"/>
    <x v="1"/>
    <s v="Conversions"/>
    <s v="South"/>
    <s v="Tablet"/>
    <s v="55+"/>
    <x v="10"/>
    <x v="1"/>
    <n v="2023"/>
    <n v="9192.68"/>
    <n v="415133"/>
    <n v="8576"/>
    <n v="843"/>
    <n v="6097.62"/>
    <n v="2.0658439584422341"/>
    <n v="0.71100979477611936"/>
    <n v="7.2332384341637006"/>
    <n v="1.5075849265779109"/>
    <s v="🟡 Mid"/>
  </r>
  <r>
    <n v="212"/>
    <s v="Go_Discovery_2023"/>
    <x v="1"/>
    <s v="Brand Awareness"/>
    <s v="East"/>
    <s v="Mobile"/>
    <s v="18-24"/>
    <x v="7"/>
    <x v="0"/>
    <n v="2023"/>
    <n v="7292.41"/>
    <n v="364731"/>
    <n v="10845"/>
    <n v="128"/>
    <n v="5009.04"/>
    <n v="2.9734242496524836"/>
    <n v="0.46187551867219917"/>
    <n v="39.133125"/>
    <n v="1.4558498235190775"/>
    <s v="🟡 Mid"/>
  </r>
  <r>
    <n v="213"/>
    <s v="Fa_Lead_Form_2023"/>
    <x v="2"/>
    <s v="Retargeting"/>
    <s v="North"/>
    <s v="Mobile"/>
    <s v="45-54"/>
    <x v="2"/>
    <x v="2"/>
    <n v="2023"/>
    <n v="6355.15"/>
    <n v="750305"/>
    <n v="17475"/>
    <n v="1954"/>
    <n v="5620.49"/>
    <n v="2.3290528518402516"/>
    <n v="0.32163032904148781"/>
    <n v="2.8764022517911974"/>
    <n v="1.1307110234161077"/>
    <s v="🟡 Mid"/>
  </r>
  <r>
    <n v="214"/>
    <s v="Go_PMax_2024"/>
    <x v="1"/>
    <s v="Traffic"/>
    <s v="South"/>
    <s v="Tablet"/>
    <s v="25-34"/>
    <x v="2"/>
    <x v="2"/>
    <n v="2024"/>
    <n v="19190.02"/>
    <n v="248118"/>
    <n v="8544"/>
    <n v="289"/>
    <n v="16589.759999999998"/>
    <n v="3.4435228399390607"/>
    <n v="1.9416853932584268"/>
    <n v="57.404013840830444"/>
    <n v="1.1567388557760934"/>
    <s v="🟢 High"/>
  </r>
  <r>
    <n v="215"/>
    <s v="Go_Smart_Campaign_2024"/>
    <x v="1"/>
    <s v="Retargeting"/>
    <s v="North"/>
    <s v="Tablet"/>
    <s v="55+"/>
    <x v="11"/>
    <x v="2"/>
    <n v="2024"/>
    <n v="12047.96"/>
    <n v="412723"/>
    <n v="12990"/>
    <n v="1068"/>
    <n v="10789.9"/>
    <n v="3.1473894113000731"/>
    <n v="0.83063125481139333"/>
    <n v="10.102902621722846"/>
    <n v="1.1165960759599254"/>
    <s v="🟢 High"/>
  </r>
  <r>
    <n v="216"/>
    <s v="Go_Search_Generic_2024"/>
    <x v="1"/>
    <s v="Traffic"/>
    <s v="South"/>
    <s v="Mobile"/>
    <s v="35-44"/>
    <x v="11"/>
    <x v="2"/>
    <n v="2024"/>
    <n v="2722.12"/>
    <n v="708281"/>
    <n v="19900"/>
    <n v="713"/>
    <n v="2236.6"/>
    <n v="2.8096193459940335"/>
    <n v="0.11239195979899497"/>
    <n v="3.1368863955119215"/>
    <n v="1.21707949566306"/>
    <s v="🟡 Mid"/>
  </r>
  <r>
    <n v="217"/>
    <s v="Di_Retargeting_Display_2023"/>
    <x v="0"/>
    <s v="Traffic"/>
    <s v="West"/>
    <s v="Tablet"/>
    <s v="45-54"/>
    <x v="9"/>
    <x v="3"/>
    <n v="2023"/>
    <n v="7284.53"/>
    <n v="485101"/>
    <n v="242"/>
    <n v="7"/>
    <n v="5280.75"/>
    <n v="4.9886518477595392E-2"/>
    <n v="21.821280991735538"/>
    <n v="754.39285714285711"/>
    <n v="1.3794498887468636"/>
    <s v="🔴 Low"/>
  </r>
  <r>
    <n v="218"/>
    <s v="Di_Rich_Media_2023"/>
    <x v="0"/>
    <s v="Lead Generation"/>
    <s v="East"/>
    <s v="Desktop"/>
    <s v="25-34"/>
    <x v="5"/>
    <x v="2"/>
    <n v="2023"/>
    <n v="4069.37"/>
    <n v="732120"/>
    <n v="612"/>
    <n v="29"/>
    <n v="3105.56"/>
    <n v="8.3592853630552369E-2"/>
    <n v="5.0744444444444445"/>
    <n v="107.08827586206897"/>
    <n v="1.3103498241862981"/>
    <s v="🔴 Low"/>
  </r>
  <r>
    <n v="219"/>
    <s v="Di_Native_2023"/>
    <x v="0"/>
    <s v="Traffic"/>
    <s v="West"/>
    <s v="Mobile"/>
    <s v="25-34"/>
    <x v="4"/>
    <x v="1"/>
    <n v="2023"/>
    <n v="11320.8"/>
    <n v="518426"/>
    <n v="3225"/>
    <n v="113"/>
    <n v="9737.61"/>
    <n v="0.62207528171812376"/>
    <n v="3.0194139534883724"/>
    <n v="86.173539823008852"/>
    <n v="1.1625850696423454"/>
    <s v="🔴 Low"/>
  </r>
  <r>
    <n v="220"/>
    <s v="Fa_Feed_Image_2024"/>
    <x v="2"/>
    <s v="Retargeting"/>
    <s v="South"/>
    <s v="Desktop"/>
    <s v="45-54"/>
    <x v="10"/>
    <x v="1"/>
    <n v="2024"/>
    <n v="8478.1200000000008"/>
    <n v="520611"/>
    <n v="9955"/>
    <n v="928"/>
    <n v="8077.57"/>
    <n v="1.9121762698060547"/>
    <n v="0.81140833751883468"/>
    <n v="8.7042780172413785"/>
    <n v="1.0495879330046043"/>
    <s v="🟡 Mid"/>
  </r>
  <r>
    <n v="221"/>
    <s v="Fa_Carousel_2023"/>
    <x v="2"/>
    <s v="Brand Awareness"/>
    <s v="Central"/>
    <s v="Desktop"/>
    <s v="25-34"/>
    <x v="5"/>
    <x v="2"/>
    <n v="2023"/>
    <n v="5859.63"/>
    <n v="568723"/>
    <n v="7907"/>
    <n v="106"/>
    <n v="5417.05"/>
    <n v="1.3903077596650744"/>
    <n v="0.68509548501327944"/>
    <n v="51.104245283018869"/>
    <n v="1.081701294985278"/>
    <s v="🔴 Low"/>
  </r>
  <r>
    <n v="222"/>
    <s v="Fa_Feed_Video_2023"/>
    <x v="2"/>
    <s v="Traffic"/>
    <s v="North"/>
    <s v="Mobile"/>
    <s v="55+"/>
    <x v="2"/>
    <x v="2"/>
    <n v="2023"/>
    <n v="15320.08"/>
    <n v="467806"/>
    <n v="11440"/>
    <n v="301"/>
    <n v="15560.69"/>
    <n v="2.4454581600064982"/>
    <n v="1.3602001748251749"/>
    <n v="51.696644518272429"/>
    <n v="0.98453731807522671"/>
    <s v="🟡 Mid"/>
  </r>
  <r>
    <n v="223"/>
    <s v="Go_PMax_2023"/>
    <x v="1"/>
    <s v="Conversions"/>
    <s v="North"/>
    <s v="Mobile"/>
    <s v="35-44"/>
    <x v="2"/>
    <x v="2"/>
    <n v="2023"/>
    <n v="9061.86"/>
    <n v="128088"/>
    <n v="3661"/>
    <n v="390"/>
    <n v="7674.74"/>
    <n v="2.8581912435200798"/>
    <n v="2.0963507238459438"/>
    <n v="19.678820512820511"/>
    <n v="1.1807383702900687"/>
    <s v="🟡 Mid"/>
  </r>
  <r>
    <n v="224"/>
    <s v="Fa_Messenger_2023"/>
    <x v="2"/>
    <s v="Lead Generation"/>
    <s v="Central"/>
    <s v="Desktop"/>
    <s v="25-34"/>
    <x v="11"/>
    <x v="2"/>
    <n v="2023"/>
    <n v="11616.45"/>
    <n v="563136"/>
    <n v="6966"/>
    <n v="396"/>
    <n v="9598.4699999999993"/>
    <n v="1.23700136379134"/>
    <n v="1.3779026701119723"/>
    <n v="24.238560606060606"/>
    <n v="1.210239756961266"/>
    <s v="🔴 Low"/>
  </r>
  <r>
    <n v="225"/>
    <s v="Fa_Stories_2023"/>
    <x v="2"/>
    <s v="Conversions"/>
    <s v="Central"/>
    <s v="Mobile"/>
    <s v="55+"/>
    <x v="3"/>
    <x v="3"/>
    <n v="2023"/>
    <n v="3143.98"/>
    <n v="791530"/>
    <n v="14636"/>
    <n v="1748"/>
    <n v="3031.3"/>
    <n v="1.8490771038368727"/>
    <n v="0.20711259907078439"/>
    <n v="1.7341533180778033"/>
    <n v="1.0371721703559529"/>
    <s v="🟡 Mid"/>
  </r>
  <r>
    <n v="226"/>
    <s v="Go_Shopping_2024"/>
    <x v="1"/>
    <s v="Lead Generation"/>
    <s v="South"/>
    <s v="Tablet"/>
    <s v="35-44"/>
    <x v="11"/>
    <x v="2"/>
    <n v="2024"/>
    <n v="10044.450000000001"/>
    <n v="610474"/>
    <n v="10424"/>
    <n v="812"/>
    <n v="8675.2000000000007"/>
    <n v="1.707525627627057"/>
    <n v="0.83223330775134308"/>
    <n v="10.683743842364533"/>
    <n v="1.1578349778679453"/>
    <s v="🟡 Mid"/>
  </r>
  <r>
    <n v="227"/>
    <s v="Fa_Instant_Experience_2024"/>
    <x v="2"/>
    <s v="Brand Awareness"/>
    <s v="North"/>
    <s v="Mobile"/>
    <s v="55+"/>
    <x v="6"/>
    <x v="3"/>
    <n v="2024"/>
    <n v="14046.72"/>
    <n v="391999"/>
    <n v="4095"/>
    <n v="56"/>
    <n v="13554.26"/>
    <n v="1.0446455220549034"/>
    <n v="3.3099536019536022"/>
    <n v="242.04035714285715"/>
    <n v="1.036332488826391"/>
    <s v="🔴 Low"/>
  </r>
  <r>
    <n v="228"/>
    <s v="Di_Rich_Media_2023"/>
    <x v="0"/>
    <s v="Retargeting"/>
    <s v="East"/>
    <s v="Desktop"/>
    <s v="55+"/>
    <x v="1"/>
    <x v="1"/>
    <n v="2023"/>
    <n v="19378.509999999998"/>
    <n v="227142"/>
    <n v="1959"/>
    <n v="195"/>
    <n v="14254.9"/>
    <n v="0.86245608473994251"/>
    <n v="7.2766207248596224"/>
    <n v="73.102051282051278"/>
    <n v="1.3594279861661602"/>
    <s v="🔴 Low"/>
  </r>
  <r>
    <n v="229"/>
    <s v="Fa_Lead_Form_2024"/>
    <x v="2"/>
    <s v="Traffic"/>
    <s v="Central"/>
    <s v="Desktop"/>
    <s v="55+"/>
    <x v="4"/>
    <x v="1"/>
    <n v="2024"/>
    <n v="17936.02"/>
    <n v="55760"/>
    <n v="1267"/>
    <n v="44"/>
    <n v="10884.26"/>
    <n v="2.2722381635581064"/>
    <n v="8.5905761641673237"/>
    <n v="247.36954545454546"/>
    <n v="1.6478860299184326"/>
    <s v="🟡 Mid"/>
  </r>
  <r>
    <n v="230"/>
    <s v="Go_Discovery_2023"/>
    <x v="1"/>
    <s v="Retargeting"/>
    <s v="North"/>
    <s v="Mobile"/>
    <s v="25-34"/>
    <x v="6"/>
    <x v="3"/>
    <n v="2023"/>
    <n v="17701.88"/>
    <n v="321528"/>
    <n v="9644"/>
    <n v="701"/>
    <n v="17555.75"/>
    <n v="2.9994277325769447"/>
    <n v="1.8203805474906678"/>
    <n v="25.043865905848786"/>
    <n v="1.0083237685658546"/>
    <s v="🟡 Mid"/>
  </r>
  <r>
    <n v="231"/>
    <s v="Fa_Feed_Video_2023"/>
    <x v="2"/>
    <s v="Conversions"/>
    <s v="East"/>
    <s v="Desktop"/>
    <s v="35-44"/>
    <x v="3"/>
    <x v="3"/>
    <n v="2023"/>
    <n v="1509.85"/>
    <n v="660993"/>
    <n v="8824"/>
    <n v="585"/>
    <n v="1321.58"/>
    <n v="1.3349611871835254"/>
    <n v="0.14977107887579327"/>
    <n v="2.2591111111111108"/>
    <n v="1.1424582696469376"/>
    <s v="🔴 Low"/>
  </r>
  <r>
    <n v="232"/>
    <s v="Di_Rich_Media_2023"/>
    <x v="0"/>
    <s v="Brand Awareness"/>
    <s v="South"/>
    <s v="Mobile"/>
    <s v="18-24"/>
    <x v="0"/>
    <x v="0"/>
    <n v="2023"/>
    <n v="10629.16"/>
    <n v="471686"/>
    <n v="6738"/>
    <n v="34"/>
    <n v="9482.81"/>
    <n v="1.4284926836921172"/>
    <n v="1.4073627189076876"/>
    <n v="278.90617647058821"/>
    <n v="1.1208871631931885"/>
    <s v="🔴 Low"/>
  </r>
  <r>
    <n v="233"/>
    <s v="Go_Smart_Campaign_2023"/>
    <x v="1"/>
    <s v="Lead Generation"/>
    <s v="West"/>
    <s v="Desktop"/>
    <s v="25-34"/>
    <x v="1"/>
    <x v="1"/>
    <n v="2023"/>
    <n v="14749.89"/>
    <n v="112402"/>
    <n v="3576"/>
    <n v="207"/>
    <n v="11220.87"/>
    <n v="3.1814380527036881"/>
    <n v="3.137827181208054"/>
    <n v="54.207101449275363"/>
    <n v="1.3145050250114294"/>
    <s v="🟢 High"/>
  </r>
  <r>
    <n v="234"/>
    <s v="Go_Shopping_2023"/>
    <x v="1"/>
    <s v="Brand Awareness"/>
    <s v="Central"/>
    <s v="Tablet"/>
    <s v="18-24"/>
    <x v="9"/>
    <x v="3"/>
    <n v="2023"/>
    <n v="9081.94"/>
    <n v="762524"/>
    <n v="23554"/>
    <n v="193"/>
    <n v="8303.3700000000008"/>
    <n v="3.0889519542991435"/>
    <n v="0.35252483654580968"/>
    <n v="43.022642487046639"/>
    <n v="1.0937655433878051"/>
    <s v="🟢 High"/>
  </r>
  <r>
    <n v="235"/>
    <s v="Fa_Instant_Experience_2024"/>
    <x v="2"/>
    <s v="Lead Generation"/>
    <s v="North"/>
    <s v="Desktop"/>
    <s v="25-34"/>
    <x v="7"/>
    <x v="0"/>
    <n v="2024"/>
    <n v="7354.94"/>
    <n v="455246"/>
    <n v="6791"/>
    <n v="384"/>
    <n v="4673.21"/>
    <n v="1.4917209596569767"/>
    <n v="0.68814754822559265"/>
    <n v="12.169817708333333"/>
    <n v="1.5738518063600822"/>
    <s v="🔴 Low"/>
  </r>
  <r>
    <n v="236"/>
    <s v="Di_Programmatic_2023"/>
    <x v="0"/>
    <s v="Brand Awareness"/>
    <s v="East"/>
    <s v="Desktop"/>
    <s v="55+"/>
    <x v="9"/>
    <x v="3"/>
    <n v="2023"/>
    <n v="15082.95"/>
    <n v="314898"/>
    <n v="2998"/>
    <n v="44"/>
    <n v="14015.03"/>
    <n v="0.95205431600073676"/>
    <n v="4.6747931954636428"/>
    <n v="318.52340909090913"/>
    <n v="1.0761981957940867"/>
    <s v="🔴 Low"/>
  </r>
  <r>
    <n v="237"/>
    <s v="Go_Discovery_2023"/>
    <x v="1"/>
    <s v="Retargeting"/>
    <s v="North"/>
    <s v="Desktop"/>
    <s v="45-54"/>
    <x v="3"/>
    <x v="3"/>
    <n v="2023"/>
    <n v="10801.59"/>
    <n v="17653"/>
    <n v="699"/>
    <n v="49"/>
    <n v="10386.18"/>
    <n v="3.9596669121395798"/>
    <n v="14.85862660944206"/>
    <n v="211.96285714285716"/>
    <n v="1.039996418317418"/>
    <s v="🟢 High"/>
  </r>
  <r>
    <n v="238"/>
    <s v="Di_Video_Display_2023"/>
    <x v="0"/>
    <s v="Conversions"/>
    <s v="Central"/>
    <s v="Tablet"/>
    <s v="25-34"/>
    <x v="4"/>
    <x v="1"/>
    <n v="2023"/>
    <n v="825.44"/>
    <n v="75813"/>
    <n v="457"/>
    <n v="23"/>
    <n v="570.05999999999995"/>
    <n v="0.60279899225726463"/>
    <n v="1.2473960612691466"/>
    <n v="24.785217391304347"/>
    <n v="1.4479879310949726"/>
    <s v="🔴 Low"/>
  </r>
  <r>
    <n v="239"/>
    <s v="Go_Smart_Campaign_2024"/>
    <x v="1"/>
    <s v="Traffic"/>
    <s v="East"/>
    <s v="Tablet"/>
    <s v="55+"/>
    <x v="1"/>
    <x v="1"/>
    <n v="2024"/>
    <n v="14185.31"/>
    <n v="91431"/>
    <n v="2199"/>
    <n v="32"/>
    <n v="9009.24"/>
    <n v="2.4050923647340618"/>
    <n v="4.0969713506139156"/>
    <n v="281.53874999999999"/>
    <n v="1.5745290390754381"/>
    <s v="🟡 Mid"/>
  </r>
  <r>
    <n v="240"/>
    <s v="Go_PMax_2023"/>
    <x v="1"/>
    <s v="Lead Generation"/>
    <s v="Central"/>
    <s v="Mobile"/>
    <s v="45-54"/>
    <x v="9"/>
    <x v="3"/>
    <n v="2023"/>
    <n v="6548.31"/>
    <n v="463737"/>
    <n v="10759"/>
    <n v="901"/>
    <n v="6257.02"/>
    <n v="2.3200650368635669"/>
    <n v="0.58156148340923886"/>
    <n v="6.9445283018867929"/>
    <n v="1.0465541104231726"/>
    <s v="🟡 Mid"/>
  </r>
  <r>
    <n v="241"/>
    <s v="Go_PMax_2023"/>
    <x v="1"/>
    <s v="Brand Awareness"/>
    <s v="West"/>
    <s v="Desktop"/>
    <s v="45-54"/>
    <x v="9"/>
    <x v="3"/>
    <n v="2023"/>
    <n v="6531.16"/>
    <n v="782722"/>
    <n v="20587"/>
    <n v="106"/>
    <n v="4295.08"/>
    <n v="2.6301803194493063"/>
    <n v="0.20863068926992762"/>
    <n v="40.519622641509436"/>
    <n v="1.5206142842508172"/>
    <s v="🟡 Mid"/>
  </r>
  <r>
    <n v="242"/>
    <s v="Go_Shopping_2024"/>
    <x v="1"/>
    <s v="Retargeting"/>
    <s v="East"/>
    <s v="Tablet"/>
    <s v="55+"/>
    <x v="6"/>
    <x v="3"/>
    <n v="2024"/>
    <n v="3755.78"/>
    <n v="138096"/>
    <n v="3507"/>
    <n v="420"/>
    <n v="3631.29"/>
    <n v="2.5395377128953771"/>
    <n v="1.0354405474764756"/>
    <n v="8.6459285714285716"/>
    <n v="1.0342825827736148"/>
    <s v="🟡 Mid"/>
  </r>
  <r>
    <n v="243"/>
    <s v="Di_Rich_Media_2023"/>
    <x v="0"/>
    <s v="Brand Awareness"/>
    <s v="East"/>
    <s v="Mobile"/>
    <s v="35-44"/>
    <x v="10"/>
    <x v="1"/>
    <n v="2023"/>
    <n v="5627.52"/>
    <n v="609663"/>
    <n v="1784"/>
    <n v="22"/>
    <n v="3507.55"/>
    <n v="0.29262067732501401"/>
    <n v="1.9661154708520181"/>
    <n v="159.43409090909091"/>
    <n v="1.604401932973158"/>
    <s v="🔴 Low"/>
  </r>
  <r>
    <n v="244"/>
    <s v="Di_Native_2023"/>
    <x v="0"/>
    <s v="Conversions"/>
    <s v="South"/>
    <s v="Mobile"/>
    <s v="18-24"/>
    <x v="9"/>
    <x v="3"/>
    <n v="2023"/>
    <n v="4953.8900000000003"/>
    <n v="538541"/>
    <n v="1505"/>
    <n v="75"/>
    <n v="4758.95"/>
    <n v="0.27945875987157892"/>
    <n v="3.1620930232558138"/>
    <n v="63.452666666666666"/>
    <n v="1.0409628174282144"/>
    <s v="🔴 Low"/>
  </r>
  <r>
    <n v="245"/>
    <s v="Go_PMax_2023"/>
    <x v="1"/>
    <s v="Brand Awareness"/>
    <s v="West"/>
    <s v="Mobile"/>
    <s v="45-54"/>
    <x v="0"/>
    <x v="0"/>
    <n v="2023"/>
    <n v="18657.62"/>
    <n v="42081"/>
    <n v="737"/>
    <n v="11"/>
    <n v="14480.83"/>
    <n v="1.751384235165514"/>
    <n v="19.648344640434193"/>
    <n v="1316.439090909091"/>
    <n v="1.2884358147979087"/>
    <s v="🟡 Mid"/>
  </r>
  <r>
    <n v="246"/>
    <s v="Fa_Reels_2024"/>
    <x v="2"/>
    <s v="Retargeting"/>
    <s v="East"/>
    <s v="Mobile"/>
    <s v="18-24"/>
    <x v="9"/>
    <x v="3"/>
    <n v="2024"/>
    <n v="2828.32"/>
    <n v="711033"/>
    <n v="8808"/>
    <n v="1164"/>
    <n v="1910.03"/>
    <n v="1.2387610701613005"/>
    <n v="0.21685172570390554"/>
    <n v="1.6409192439862543"/>
    <n v="1.480772553310681"/>
    <s v="🔴 Low"/>
  </r>
  <r>
    <n v="247"/>
    <s v="Di_Banner_Standard_2024"/>
    <x v="0"/>
    <s v="Retargeting"/>
    <s v="North"/>
    <s v="Mobile"/>
    <s v="35-44"/>
    <x v="5"/>
    <x v="2"/>
    <n v="2024"/>
    <n v="2184.52"/>
    <n v="483933"/>
    <n v="5004"/>
    <n v="525"/>
    <n v="1589.55"/>
    <n v="1.0340274376824892"/>
    <n v="0.31765587529976019"/>
    <n v="3.0277142857142856"/>
    <n v="1.3743009027712245"/>
    <s v="🔴 Low"/>
  </r>
  <r>
    <n v="248"/>
    <s v="Di_Interstitial_2023"/>
    <x v="0"/>
    <s v="Retargeting"/>
    <s v="East"/>
    <s v="Tablet"/>
    <s v="45-54"/>
    <x v="11"/>
    <x v="2"/>
    <n v="2023"/>
    <n v="3436.04"/>
    <n v="434954"/>
    <n v="3117"/>
    <n v="192"/>
    <n v="2843.15"/>
    <n v="0.71662750543735665"/>
    <n v="0.91214308630093044"/>
    <n v="14.808072916666667"/>
    <n v="1.2085327893357718"/>
    <s v="🔴 Low"/>
  </r>
  <r>
    <n v="249"/>
    <s v="Di_Banner_Standard_2024"/>
    <x v="0"/>
    <s v="Conversions"/>
    <s v="North"/>
    <s v="Tablet"/>
    <s v="45-54"/>
    <x v="6"/>
    <x v="3"/>
    <n v="2024"/>
    <n v="2527.0100000000002"/>
    <n v="560550"/>
    <n v="6831"/>
    <n v="801"/>
    <n v="2548.4299999999998"/>
    <n v="1.2186245651592187"/>
    <n v="0.37306836480749522"/>
    <n v="3.1815605493133581"/>
    <n v="0.99159482504914809"/>
    <s v="🔴 Low"/>
  </r>
  <r>
    <n v="250"/>
    <s v="Go_YouTube_PreRoll_2024"/>
    <x v="1"/>
    <s v="Brand Awareness"/>
    <s v="North"/>
    <s v="Desktop"/>
    <s v="55+"/>
    <x v="1"/>
    <x v="1"/>
    <n v="2024"/>
    <n v="9439.93"/>
    <n v="789229"/>
    <n v="21662"/>
    <n v="135"/>
    <n v="6042.9"/>
    <n v="2.7447040085957308"/>
    <n v="0.27896316129627918"/>
    <n v="44.762222222222221"/>
    <n v="1.562152277879826"/>
    <s v="🟡 Mid"/>
  </r>
  <r>
    <n v="251"/>
    <s v="Go_Smart_Campaign_2023"/>
    <x v="1"/>
    <s v="Brand Awareness"/>
    <s v="Central"/>
    <s v="Tablet"/>
    <s v="18-24"/>
    <x v="1"/>
    <x v="1"/>
    <n v="2023"/>
    <n v="5117.05"/>
    <n v="278668"/>
    <n v="9686"/>
    <n v="105"/>
    <n v="4858.12"/>
    <n v="3.4758206898531587"/>
    <n v="0.50156101589923596"/>
    <n v="46.267809523809525"/>
    <n v="1.0532983952640116"/>
    <s v="🟢 High"/>
  </r>
  <r>
    <n v="252"/>
    <s v="Fa_Lead_Form_2023"/>
    <x v="2"/>
    <s v="Retargeting"/>
    <s v="East"/>
    <s v="Desktop"/>
    <s v="18-24"/>
    <x v="11"/>
    <x v="2"/>
    <n v="2023"/>
    <n v="15708.77"/>
    <n v="618110"/>
    <n v="4207"/>
    <n v="289"/>
    <n v="10122.36"/>
    <n v="0.68062319004707905"/>
    <n v="2.4060755883052058"/>
    <n v="35.025467128027685"/>
    <n v="1.5518880972421452"/>
    <s v="🔴 Low"/>
  </r>
  <r>
    <n v="253"/>
    <s v="Fa_Instant_Experience_2023"/>
    <x v="2"/>
    <s v="Conversions"/>
    <s v="West"/>
    <s v="Desktop"/>
    <s v="55+"/>
    <x v="2"/>
    <x v="2"/>
    <n v="2023"/>
    <n v="9312.3799999999992"/>
    <n v="490854"/>
    <n v="7736"/>
    <n v="472"/>
    <n v="8270.73"/>
    <n v="1.5760287172967931"/>
    <n v="1.0691222854188211"/>
    <n v="17.522733050847457"/>
    <n v="1.1259441427782069"/>
    <s v="🟡 Mid"/>
  </r>
  <r>
    <n v="254"/>
    <s v="Di_Banner_Standard_2023"/>
    <x v="0"/>
    <s v="Lead Generation"/>
    <s v="East"/>
    <s v="Desktop"/>
    <s v="18-24"/>
    <x v="6"/>
    <x v="3"/>
    <n v="2023"/>
    <n v="19383.8"/>
    <n v="420492"/>
    <n v="4001"/>
    <n v="283"/>
    <n v="17143.36"/>
    <n v="0.9515044281460765"/>
    <n v="4.2847688077980504"/>
    <n v="60.577243816254416"/>
    <n v="1.1306884998040057"/>
    <s v="🔴 Low"/>
  </r>
  <r>
    <n v="255"/>
    <s v="Fa_Carousel_2023"/>
    <x v="2"/>
    <s v="Brand Awareness"/>
    <s v="West"/>
    <s v="Mobile"/>
    <s v="55+"/>
    <x v="6"/>
    <x v="3"/>
    <n v="2023"/>
    <n v="2347.14"/>
    <n v="111857"/>
    <n v="1891"/>
    <n v="9"/>
    <n v="2226.86"/>
    <n v="1.6905513289289003"/>
    <n v="1.1776097303014279"/>
    <n v="247.42888888888891"/>
    <n v="1.0540132742965429"/>
    <s v="🟡 Mid"/>
  </r>
  <r>
    <n v="256"/>
    <s v="Go_Shopping_2024"/>
    <x v="1"/>
    <s v="Lead Generation"/>
    <s v="West"/>
    <s v="Mobile"/>
    <s v="18-24"/>
    <x v="9"/>
    <x v="3"/>
    <n v="2024"/>
    <n v="18389.86"/>
    <n v="83629"/>
    <n v="2125"/>
    <n v="87"/>
    <n v="11531.88"/>
    <n v="2.5409845866864367"/>
    <n v="5.4267670588235291"/>
    <n v="132.5503448275862"/>
    <n v="1.5946974821104627"/>
    <s v="🟡 Mid"/>
  </r>
  <r>
    <n v="257"/>
    <s v="Di_Responsive_2024"/>
    <x v="0"/>
    <s v="Lead Generation"/>
    <s v="North"/>
    <s v="Mobile"/>
    <s v="18-24"/>
    <x v="8"/>
    <x v="0"/>
    <n v="2024"/>
    <n v="1487.44"/>
    <n v="606761"/>
    <n v="303"/>
    <n v="21"/>
    <n v="1131.56"/>
    <n v="4.9937289970845192E-2"/>
    <n v="3.7345214521452141"/>
    <n v="53.883809523809518"/>
    <n v="1.3145038707624872"/>
    <s v="🔴 Low"/>
  </r>
  <r>
    <n v="258"/>
    <s v="Fa_Carousel_2024"/>
    <x v="2"/>
    <s v="Conversions"/>
    <s v="South"/>
    <s v="Desktop"/>
    <s v="35-44"/>
    <x v="5"/>
    <x v="2"/>
    <n v="2024"/>
    <n v="17726.759999999998"/>
    <n v="41332"/>
    <n v="796"/>
    <n v="74"/>
    <n v="15229.6"/>
    <n v="1.9258685764056906"/>
    <n v="19.132663316582914"/>
    <n v="205.80540540540542"/>
    <n v="1.1639675369018225"/>
    <s v="🟡 Mid"/>
  </r>
  <r>
    <n v="259"/>
    <s v="Di_Programmatic_2023"/>
    <x v="0"/>
    <s v="Retargeting"/>
    <s v="West"/>
    <s v="Tablet"/>
    <s v="45-54"/>
    <x v="8"/>
    <x v="0"/>
    <n v="2023"/>
    <n v="5955.63"/>
    <n v="148902"/>
    <n v="108"/>
    <n v="13"/>
    <n v="4196.59"/>
    <n v="7.2530926381109723E-2"/>
    <n v="38.857314814814814"/>
    <n v="322.81461538461542"/>
    <n v="1.4191593651035721"/>
    <s v="🔴 Low"/>
  </r>
  <r>
    <n v="260"/>
    <s v="Di_Banner_Standard_2024"/>
    <x v="0"/>
    <s v="Retargeting"/>
    <s v="East"/>
    <s v="Mobile"/>
    <s v="55+"/>
    <x v="4"/>
    <x v="1"/>
    <n v="2024"/>
    <n v="18297.2"/>
    <n v="531797"/>
    <n v="5576"/>
    <n v="478"/>
    <n v="13056.57"/>
    <n v="1.0485203940601395"/>
    <n v="2.3415656384505019"/>
    <n v="27.314999999999998"/>
    <n v="1.401378769462424"/>
    <s v="🔴 Low"/>
  </r>
  <r>
    <n v="261"/>
    <s v="Go_Search_Competitor_2024"/>
    <x v="1"/>
    <s v="Traffic"/>
    <s v="South"/>
    <s v="Desktop"/>
    <s v="35-44"/>
    <x v="8"/>
    <x v="0"/>
    <n v="2024"/>
    <n v="10823.93"/>
    <n v="617356"/>
    <n v="25624"/>
    <n v="333"/>
    <n v="9480.5"/>
    <n v="4.1506035415546298"/>
    <n v="0.3699851701529816"/>
    <n v="28.46996996996997"/>
    <n v="1.1417045514477084"/>
    <s v="🟢 High"/>
  </r>
  <r>
    <n v="262"/>
    <s v="Fa_Feed_Image_2023"/>
    <x v="2"/>
    <s v="Lead Generation"/>
    <s v="Central"/>
    <s v="Mobile"/>
    <s v="35-44"/>
    <x v="0"/>
    <x v="0"/>
    <n v="2023"/>
    <n v="5112.75"/>
    <n v="338451"/>
    <n v="5403"/>
    <n v="477"/>
    <n v="4565.7"/>
    <n v="1.5963906148895999"/>
    <n v="0.84503053858967236"/>
    <n v="9.571698113207546"/>
    <n v="1.1198173335961628"/>
    <s v="🟡 Mid"/>
  </r>
  <r>
    <n v="263"/>
    <s v="Di_Banner_Standard_2023"/>
    <x v="0"/>
    <s v="Conversions"/>
    <s v="Central"/>
    <s v="Tablet"/>
    <s v="25-34"/>
    <x v="9"/>
    <x v="3"/>
    <n v="2023"/>
    <n v="16815.59"/>
    <n v="521137"/>
    <n v="2085"/>
    <n v="109"/>
    <n v="10486.04"/>
    <n v="0.40008673343094037"/>
    <n v="5.0292757793764995"/>
    <n v="96.202201834862393"/>
    <n v="1.6036168086331921"/>
    <s v="🔴 Low"/>
  </r>
  <r>
    <n v="264"/>
    <s v="Di_Interstitial_2023"/>
    <x v="0"/>
    <s v="Brand Awareness"/>
    <s v="Central"/>
    <s v="Mobile"/>
    <s v="18-24"/>
    <x v="2"/>
    <x v="2"/>
    <n v="2023"/>
    <n v="16225.69"/>
    <n v="362311"/>
    <n v="2241"/>
    <n v="35"/>
    <n v="15996.71"/>
    <n v="0.61852938497589083"/>
    <n v="7.138201695671575"/>
    <n v="457.04885714285712"/>
    <n v="1.0143141933560089"/>
    <s v="🔴 Low"/>
  </r>
  <r>
    <n v="265"/>
    <s v="Fa_Feed_Image_2024"/>
    <x v="2"/>
    <s v="Brand Awareness"/>
    <s v="South"/>
    <s v="Tablet"/>
    <s v="25-34"/>
    <x v="7"/>
    <x v="0"/>
    <n v="2024"/>
    <n v="19230.900000000001"/>
    <n v="396738"/>
    <n v="5524"/>
    <n v="76"/>
    <n v="14256.94"/>
    <n v="1.3923546521885981"/>
    <n v="2.5809087617668358"/>
    <n v="187.5913157894737"/>
    <n v="1.3488799139226231"/>
    <s v="🔴 Low"/>
  </r>
  <r>
    <n v="266"/>
    <s v="Fa_Carousel_2024"/>
    <x v="2"/>
    <s v="Lead Generation"/>
    <s v="West"/>
    <s v="Tablet"/>
    <s v="45-54"/>
    <x v="3"/>
    <x v="3"/>
    <n v="2024"/>
    <n v="3896.95"/>
    <n v="594275"/>
    <n v="5308"/>
    <n v="433"/>
    <n v="3858.43"/>
    <n v="0.89318918009339099"/>
    <n v="0.72690844009042954"/>
    <n v="8.9109237875288674"/>
    <n v="1.0099833351907381"/>
    <s v="🔴 Low"/>
  </r>
  <r>
    <n v="267"/>
    <s v="Fa_Reels_2024"/>
    <x v="2"/>
    <s v="Traffic"/>
    <s v="South"/>
    <s v="Mobile"/>
    <s v="35-44"/>
    <x v="6"/>
    <x v="3"/>
    <n v="2024"/>
    <n v="2983.29"/>
    <n v="769234"/>
    <n v="18292"/>
    <n v="497"/>
    <n v="2855.96"/>
    <n v="2.3779500126099471"/>
    <n v="0.15613164224797726"/>
    <n v="5.7463983903420521"/>
    <n v="1.0445839577585121"/>
    <s v="🟡 Mid"/>
  </r>
  <r>
    <n v="268"/>
    <s v="Di_Banner_Standard_2023"/>
    <x v="0"/>
    <s v="Lead Generation"/>
    <s v="Central"/>
    <s v="Mobile"/>
    <s v="55+"/>
    <x v="11"/>
    <x v="2"/>
    <n v="2023"/>
    <n v="18765.41"/>
    <n v="152475"/>
    <n v="1080"/>
    <n v="64"/>
    <n v="11872.48"/>
    <n v="0.70831283817019186"/>
    <n v="10.993037037037036"/>
    <n v="185.50749999999999"/>
    <n v="1.580580468444672"/>
    <s v="🔴 Low"/>
  </r>
  <r>
    <n v="269"/>
    <s v="Fa_Lead_Form_2023"/>
    <x v="2"/>
    <s v="Lead Generation"/>
    <s v="North"/>
    <s v="Tablet"/>
    <s v="35-44"/>
    <x v="4"/>
    <x v="1"/>
    <n v="2023"/>
    <n v="5671.64"/>
    <n v="266662"/>
    <n v="3833"/>
    <n v="334"/>
    <n v="5119.07"/>
    <n v="1.4374001545027038"/>
    <n v="1.3355256978867727"/>
    <n v="15.326556886227545"/>
    <n v="1.1079434350380051"/>
    <s v="🔴 Low"/>
  </r>
  <r>
    <n v="270"/>
    <s v="Go_Smart_Campaign_2024"/>
    <x v="1"/>
    <s v="Retargeting"/>
    <s v="West"/>
    <s v="Desktop"/>
    <s v="45-54"/>
    <x v="4"/>
    <x v="1"/>
    <n v="2024"/>
    <n v="7349.01"/>
    <n v="398580"/>
    <n v="9425"/>
    <n v="641"/>
    <n v="5889.39"/>
    <n v="2.3646444879321589"/>
    <n v="0.62486896551724136"/>
    <n v="9.1878159126365055"/>
    <n v="1.2478389103115941"/>
    <s v="🟡 Mid"/>
  </r>
  <r>
    <n v="271"/>
    <s v="Di_Interstitial_2023"/>
    <x v="0"/>
    <s v="Lead Generation"/>
    <s v="West"/>
    <s v="Desktop"/>
    <s v="18-24"/>
    <x v="5"/>
    <x v="2"/>
    <n v="2023"/>
    <n v="6714.98"/>
    <n v="114812"/>
    <n v="1116"/>
    <n v="69"/>
    <n v="6093.4"/>
    <n v="0.97202383026164518"/>
    <n v="5.4600358422939061"/>
    <n v="88.310144927536228"/>
    <n v="1.1020087307578692"/>
    <s v="🔴 Low"/>
  </r>
  <r>
    <n v="272"/>
    <s v="Di_Rich_Media_2023"/>
    <x v="0"/>
    <s v="Conversions"/>
    <s v="Central"/>
    <s v="Tablet"/>
    <s v="45-54"/>
    <x v="6"/>
    <x v="3"/>
    <n v="2023"/>
    <n v="8910.81"/>
    <n v="690386"/>
    <n v="5780"/>
    <n v="355"/>
    <n v="8676.42"/>
    <n v="0.83721280558991629"/>
    <n v="1.5011107266435986"/>
    <n v="24.440619718309858"/>
    <n v="1.0270145981868097"/>
    <s v="🔴 Low"/>
  </r>
  <r>
    <n v="273"/>
    <s v="Go_Search_Brand_2024"/>
    <x v="1"/>
    <s v="Brand Awareness"/>
    <s v="East"/>
    <s v="Desktop"/>
    <s v="25-34"/>
    <x v="1"/>
    <x v="1"/>
    <n v="2024"/>
    <n v="13381.66"/>
    <n v="316847"/>
    <n v="8911"/>
    <n v="120"/>
    <n v="12749.23"/>
    <n v="2.8123984131142161"/>
    <n v="1.4307294355291214"/>
    <n v="106.24358333333333"/>
    <n v="1.0496053487151773"/>
    <s v="🟡 Mid"/>
  </r>
  <r>
    <n v="274"/>
    <s v="Go_Search_Brand_2024"/>
    <x v="1"/>
    <s v="Conversions"/>
    <s v="North"/>
    <s v="Mobile"/>
    <s v="18-24"/>
    <x v="5"/>
    <x v="2"/>
    <n v="2024"/>
    <n v="4393.66"/>
    <n v="31985"/>
    <n v="946"/>
    <n v="61"/>
    <n v="3813.87"/>
    <n v="2.9576363920587774"/>
    <n v="4.0315750528541221"/>
    <n v="62.522459016393441"/>
    <n v="1.1520214375424438"/>
    <s v="🟡 Mid"/>
  </r>
  <r>
    <n v="275"/>
    <s v="Go_Discovery_2024"/>
    <x v="1"/>
    <s v="Brand Awareness"/>
    <s v="East"/>
    <s v="Mobile"/>
    <s v="45-54"/>
    <x v="4"/>
    <x v="1"/>
    <n v="2024"/>
    <n v="2277.17"/>
    <n v="575557"/>
    <n v="14008"/>
    <n v="150"/>
    <n v="1544.75"/>
    <n v="2.433816285789244"/>
    <n v="0.11027627070245574"/>
    <n v="10.298333333333334"/>
    <n v="1.47413497329665"/>
    <s v="🟡 Mid"/>
  </r>
  <r>
    <n v="276"/>
    <s v="Go_YouTube_PreRoll_2023"/>
    <x v="1"/>
    <s v="Retargeting"/>
    <s v="West"/>
    <s v="Mobile"/>
    <s v="25-34"/>
    <x v="5"/>
    <x v="2"/>
    <n v="2023"/>
    <n v="3447.05"/>
    <n v="735302"/>
    <n v="22887"/>
    <n v="2595"/>
    <n v="2192.31"/>
    <n v="3.1125986329426549"/>
    <n v="9.5788438851749896E-2"/>
    <n v="0.84482080924855485"/>
    <n v="1.572336941399711"/>
    <s v="🟢 High"/>
  </r>
  <r>
    <n v="277"/>
    <s v="Fa_Messenger_2024"/>
    <x v="2"/>
    <s v="Traffic"/>
    <s v="South"/>
    <s v="Tablet"/>
    <s v="18-24"/>
    <x v="1"/>
    <x v="1"/>
    <n v="2024"/>
    <n v="19329.740000000002"/>
    <n v="725442"/>
    <n v="14365"/>
    <n v="523"/>
    <n v="15464.37"/>
    <n v="1.9801720881889937"/>
    <n v="1.0765311521058127"/>
    <n v="29.568585086042066"/>
    <n v="1.2499532797003694"/>
    <s v="🟡 Mid"/>
  </r>
  <r>
    <n v="278"/>
    <s v="Go_Smart_Campaign_2023"/>
    <x v="1"/>
    <s v="Brand Awareness"/>
    <s v="Central"/>
    <s v="Tablet"/>
    <s v="55+"/>
    <x v="9"/>
    <x v="3"/>
    <n v="2023"/>
    <n v="2845.5"/>
    <n v="798969"/>
    <n v="19006"/>
    <n v="223"/>
    <n v="2841.53"/>
    <n v="2.3788156987317408"/>
    <n v="0.14950699779017154"/>
    <n v="12.742286995515697"/>
    <n v="1.0013971346422526"/>
    <s v="🟡 Mid"/>
  </r>
  <r>
    <n v="279"/>
    <s v="Go_PMax_2024"/>
    <x v="1"/>
    <s v="Lead Generation"/>
    <s v="South"/>
    <s v="Desktop"/>
    <s v="45-54"/>
    <x v="7"/>
    <x v="0"/>
    <n v="2024"/>
    <n v="4437.43"/>
    <n v="662694"/>
    <n v="21222"/>
    <n v="1256"/>
    <n v="4017.57"/>
    <n v="3.2023830002987808"/>
    <n v="0.18931156347186881"/>
    <n v="3.198702229299363"/>
    <n v="1.1045059575813241"/>
    <s v="🟢 High"/>
  </r>
  <r>
    <n v="280"/>
    <s v="Go_Search_Generic_2024"/>
    <x v="1"/>
    <s v="Retargeting"/>
    <s v="Central"/>
    <s v="Mobile"/>
    <s v="55+"/>
    <x v="2"/>
    <x v="2"/>
    <n v="2024"/>
    <n v="10633.92"/>
    <n v="17964"/>
    <n v="599"/>
    <n v="73"/>
    <n v="9163.08"/>
    <n v="3.334446671120018"/>
    <n v="15.297295492487478"/>
    <n v="125.52164383561643"/>
    <n v="1.1605180790738485"/>
    <s v="🟢 High"/>
  </r>
  <r>
    <n v="281"/>
    <s v="Di_Video_Display_2023"/>
    <x v="0"/>
    <s v="Brand Awareness"/>
    <s v="West"/>
    <s v="Desktop"/>
    <s v="25-34"/>
    <x v="9"/>
    <x v="3"/>
    <n v="2023"/>
    <n v="18536.099999999999"/>
    <n v="595016"/>
    <n v="5128"/>
    <n v="92"/>
    <n v="17973.66"/>
    <n v="0.86182556435457203"/>
    <n v="3.505003900156006"/>
    <n v="195.36586956521739"/>
    <n v="1.0312924579634866"/>
    <s v="🔴 Low"/>
  </r>
  <r>
    <n v="282"/>
    <s v="Fa_Stories_2023"/>
    <x v="2"/>
    <s v="Retargeting"/>
    <s v="West"/>
    <s v="Tablet"/>
    <s v="55+"/>
    <x v="4"/>
    <x v="1"/>
    <n v="2023"/>
    <n v="3857.89"/>
    <n v="427548"/>
    <n v="3152"/>
    <n v="225"/>
    <n v="3300.95"/>
    <n v="0.73722716513701392"/>
    <n v="1.0472557106598983"/>
    <n v="14.670888888888888"/>
    <n v="1.1687211257365304"/>
    <s v="🔴 Low"/>
  </r>
  <r>
    <n v="283"/>
    <s v="Di_Video_Display_2024"/>
    <x v="0"/>
    <s v="Brand Awareness"/>
    <s v="West"/>
    <s v="Mobile"/>
    <s v="25-34"/>
    <x v="8"/>
    <x v="0"/>
    <n v="2024"/>
    <n v="18456.28"/>
    <n v="395532"/>
    <n v="6386"/>
    <n v="60"/>
    <n v="13246.91"/>
    <n v="1.6145343486746966"/>
    <n v="2.074367366113373"/>
    <n v="220.78183333333334"/>
    <n v="1.3932517092665384"/>
    <s v="🟡 Mid"/>
  </r>
  <r>
    <n v="284"/>
    <s v="Fa_Feed_Video_2024"/>
    <x v="2"/>
    <s v="Lead Generation"/>
    <s v="South"/>
    <s v="Mobile"/>
    <s v="45-54"/>
    <x v="2"/>
    <x v="2"/>
    <n v="2024"/>
    <n v="14711.59"/>
    <n v="639366"/>
    <n v="10977"/>
    <n v="864"/>
    <n v="9988.18"/>
    <n v="1.7168570114769945"/>
    <n v="0.90991892138106956"/>
    <n v="11.560393518518518"/>
    <n v="1.4728999677618946"/>
    <s v="🟡 Mid"/>
  </r>
  <r>
    <n v="285"/>
    <s v="Go_Smart_Campaign_2023"/>
    <x v="1"/>
    <s v="Retargeting"/>
    <s v="Central"/>
    <s v="Mobile"/>
    <s v="18-24"/>
    <x v="10"/>
    <x v="1"/>
    <n v="2023"/>
    <n v="1779.53"/>
    <n v="749037"/>
    <n v="18952"/>
    <n v="2427"/>
    <n v="1724.93"/>
    <n v="2.5301820871332126"/>
    <n v="9.1015723934149431E-2"/>
    <n v="0.71072517511330868"/>
    <n v="1.0316534584012105"/>
    <s v="🟡 Mid"/>
  </r>
  <r>
    <n v="286"/>
    <s v="Go_Shopping_2024"/>
    <x v="1"/>
    <s v="Lead Generation"/>
    <s v="South"/>
    <s v="Desktop"/>
    <s v="25-34"/>
    <x v="8"/>
    <x v="0"/>
    <n v="2024"/>
    <n v="1485.91"/>
    <n v="382880"/>
    <n v="10676"/>
    <n v="878"/>
    <n v="1062.53"/>
    <n v="2.7883409945674882"/>
    <n v="9.9525103034844506E-2"/>
    <n v="1.2101708428246014"/>
    <n v="1.3984640433681874"/>
    <s v="🟡 Mid"/>
  </r>
  <r>
    <n v="287"/>
    <s v="Fa_Messenger_2024"/>
    <x v="2"/>
    <s v="Brand Awareness"/>
    <s v="North"/>
    <s v="Desktop"/>
    <s v="35-44"/>
    <x v="4"/>
    <x v="1"/>
    <n v="2024"/>
    <n v="3962.88"/>
    <n v="502635"/>
    <n v="6049"/>
    <n v="45"/>
    <n v="3866.53"/>
    <n v="1.203457777512509"/>
    <n v="0.63920152091254756"/>
    <n v="85.922888888888892"/>
    <n v="1.0249189842054762"/>
    <s v="🔴 Low"/>
  </r>
  <r>
    <n v="288"/>
    <s v="Di_Rich_Media_2023"/>
    <x v="0"/>
    <s v="Conversions"/>
    <s v="North"/>
    <s v="Mobile"/>
    <s v="18-24"/>
    <x v="0"/>
    <x v="0"/>
    <n v="2023"/>
    <n v="17213.669999999998"/>
    <n v="683827"/>
    <n v="3139"/>
    <n v="206"/>
    <n v="11822.81"/>
    <n v="0.45903422941767436"/>
    <n v="3.7664256132526281"/>
    <n v="57.392281553398057"/>
    <n v="1.4559711269994189"/>
    <s v="🔴 Low"/>
  </r>
  <r>
    <n v="289"/>
    <s v="Di_Video_Display_2023"/>
    <x v="0"/>
    <s v="Traffic"/>
    <s v="North"/>
    <s v="Tablet"/>
    <s v="18-24"/>
    <x v="4"/>
    <x v="1"/>
    <n v="2023"/>
    <n v="13123.75"/>
    <n v="635343"/>
    <n v="5157"/>
    <n v="145"/>
    <n v="13072.07"/>
    <n v="0.81168754515277575"/>
    <n v="2.5348206321504749"/>
    <n v="90.152206896551718"/>
    <n v="1.0039534672014456"/>
    <s v="🔴 Low"/>
  </r>
  <r>
    <n v="290"/>
    <s v="Di_Programmatic_2023"/>
    <x v="0"/>
    <s v="Retargeting"/>
    <s v="West"/>
    <s v="Mobile"/>
    <s v="45-54"/>
    <x v="5"/>
    <x v="2"/>
    <n v="2023"/>
    <n v="9600.61"/>
    <n v="715091"/>
    <n v="2589"/>
    <n v="263"/>
    <n v="8274.91"/>
    <n v="0.36205182277500347"/>
    <n v="3.1961799922750096"/>
    <n v="31.463536121673002"/>
    <n v="1.160207180501057"/>
    <s v="🔴 Low"/>
  </r>
  <r>
    <n v="291"/>
    <s v="Di_Rich_Media_2024"/>
    <x v="0"/>
    <s v="Brand Awareness"/>
    <s v="Central"/>
    <s v="Tablet"/>
    <s v="35-44"/>
    <x v="10"/>
    <x v="1"/>
    <n v="2024"/>
    <n v="6320.28"/>
    <n v="118355"/>
    <n v="296"/>
    <n v="2"/>
    <n v="4655.25"/>
    <n v="0.25009505301846141"/>
    <n v="15.727195945945946"/>
    <n v="2327.625"/>
    <n v="1.3576671499919446"/>
    <s v="🔴 Low"/>
  </r>
  <r>
    <n v="292"/>
    <s v="Fa_Stories_2023"/>
    <x v="2"/>
    <s v="Conversions"/>
    <s v="South"/>
    <s v="Desktop"/>
    <s v="55+"/>
    <x v="11"/>
    <x v="2"/>
    <n v="2023"/>
    <n v="16205.88"/>
    <n v="634180"/>
    <n v="10475"/>
    <n v="820"/>
    <n v="11898.78"/>
    <n v="1.6517392538396038"/>
    <n v="1.1359217183770884"/>
    <n v="14.510707317073171"/>
    <n v="1.361978286849576"/>
    <s v="🟡 Mid"/>
  </r>
  <r>
    <n v="293"/>
    <s v="Go_Search_Brand_2024"/>
    <x v="1"/>
    <s v="Retargeting"/>
    <s v="East"/>
    <s v="Mobile"/>
    <s v="45-54"/>
    <x v="1"/>
    <x v="1"/>
    <n v="2024"/>
    <n v="14866.28"/>
    <n v="616344"/>
    <n v="16212"/>
    <n v="1219"/>
    <n v="13456.23"/>
    <n v="2.6303492854639616"/>
    <n v="0.83001665433012584"/>
    <n v="11.038744872846594"/>
    <n v="1.1047878937860012"/>
    <s v="🟡 Mid"/>
  </r>
  <r>
    <n v="294"/>
    <s v="Go_Discovery_2023"/>
    <x v="1"/>
    <s v="Conversions"/>
    <s v="Central"/>
    <s v="Mobile"/>
    <s v="25-34"/>
    <x v="3"/>
    <x v="3"/>
    <n v="2023"/>
    <n v="6228.79"/>
    <n v="498649"/>
    <n v="10825"/>
    <n v="638"/>
    <n v="4413.93"/>
    <n v="2.1708656790648333"/>
    <n v="0.40775334872979219"/>
    <n v="6.9183855799373042"/>
    <n v="1.4111664661650727"/>
    <s v="🟡 Mid"/>
  </r>
  <r>
    <n v="295"/>
    <s v="Di_Native_2024"/>
    <x v="0"/>
    <s v="Conversions"/>
    <s v="North"/>
    <s v="Desktop"/>
    <s v="35-44"/>
    <x v="11"/>
    <x v="2"/>
    <n v="2024"/>
    <n v="8699.2199999999993"/>
    <n v="352411"/>
    <n v="847"/>
    <n v="69"/>
    <n v="5649.87"/>
    <n v="0.24034437063542285"/>
    <n v="6.6704486422668241"/>
    <n v="81.882173913043474"/>
    <n v="1.5397203829468642"/>
    <s v="🔴 Low"/>
  </r>
  <r>
    <n v="296"/>
    <s v="Go_Search_Generic_2024"/>
    <x v="1"/>
    <s v="Retargeting"/>
    <s v="South"/>
    <s v="Tablet"/>
    <s v="18-24"/>
    <x v="3"/>
    <x v="3"/>
    <n v="2024"/>
    <n v="10831.85"/>
    <n v="438174"/>
    <n v="14367"/>
    <n v="924"/>
    <n v="10385.370000000001"/>
    <n v="3.2788344356351584"/>
    <n v="0.72286281060764257"/>
    <n v="11.239577922077922"/>
    <n v="1.042991246339803"/>
    <s v="🟢 High"/>
  </r>
  <r>
    <n v="297"/>
    <s v="Go_PMax_2024"/>
    <x v="1"/>
    <s v="Conversions"/>
    <s v="West"/>
    <s v="Tablet"/>
    <s v="45-54"/>
    <x v="0"/>
    <x v="0"/>
    <n v="2024"/>
    <n v="17316.68"/>
    <n v="194117"/>
    <n v="5638"/>
    <n v="530"/>
    <n v="11676.05"/>
    <n v="2.9044339238706551"/>
    <n v="2.0709560127704858"/>
    <n v="22.030283018867923"/>
    <n v="1.4830940258049599"/>
    <s v="🟡 Mid"/>
  </r>
  <r>
    <n v="298"/>
    <s v="Di_Banner_Standard_2023"/>
    <x v="0"/>
    <s v="Brand Awareness"/>
    <s v="West"/>
    <s v="Mobile"/>
    <s v="25-34"/>
    <x v="0"/>
    <x v="0"/>
    <n v="2023"/>
    <n v="10046.75"/>
    <n v="97318"/>
    <n v="127"/>
    <n v="0"/>
    <n v="7858.15"/>
    <n v="0.13050001027559135"/>
    <n v="61.875196850393699"/>
    <s v="-"/>
    <n v="1.2785133905563015"/>
    <s v="🔴 Low"/>
  </r>
  <r>
    <n v="299"/>
    <s v="Fa_Messenger_2023"/>
    <x v="2"/>
    <s v="Retargeting"/>
    <s v="West"/>
    <s v="Mobile"/>
    <s v="18-24"/>
    <x v="8"/>
    <x v="0"/>
    <n v="2023"/>
    <n v="14747.85"/>
    <n v="19760"/>
    <n v="445"/>
    <n v="45"/>
    <n v="8959.68"/>
    <n v="2.252024291497976"/>
    <n v="20.134112359550564"/>
    <n v="199.10400000000001"/>
    <n v="1.6460241883638702"/>
    <s v="🟡 Mid"/>
  </r>
  <r>
    <n v="300"/>
    <s v="Go_PMax_2024"/>
    <x v="1"/>
    <s v="Lead Generation"/>
    <s v="East"/>
    <s v="Mobile"/>
    <s v="25-34"/>
    <x v="7"/>
    <x v="0"/>
    <n v="2024"/>
    <n v="10315.06"/>
    <n v="325984"/>
    <n v="7407"/>
    <n v="370"/>
    <n v="9758.2000000000007"/>
    <n v="2.2721974084617647"/>
    <n v="1.3174294586202242"/>
    <n v="26.373513513513515"/>
    <n v="1.0570658523088272"/>
    <s v="🟡 Mid"/>
  </r>
  <r>
    <n v="301"/>
    <s v="Fa_Stories_2024"/>
    <x v="2"/>
    <s v="Retargeting"/>
    <s v="Central"/>
    <s v="Tablet"/>
    <s v="55+"/>
    <x v="2"/>
    <x v="2"/>
    <n v="2024"/>
    <n v="17815.490000000002"/>
    <n v="145288"/>
    <n v="1464"/>
    <n v="129"/>
    <n v="12099.19"/>
    <n v="1.0076537635592753"/>
    <n v="8.2644740437158468"/>
    <n v="93.79217054263566"/>
    <n v="1.4724531146299877"/>
    <s v="🔴 Low"/>
  </r>
  <r>
    <n v="302"/>
    <s v="Fa_Feed_Image_2023"/>
    <x v="2"/>
    <s v="Lead Generation"/>
    <s v="South"/>
    <s v="Tablet"/>
    <s v="25-34"/>
    <x v="11"/>
    <x v="2"/>
    <n v="2023"/>
    <n v="11999.01"/>
    <n v="182193"/>
    <n v="4552"/>
    <n v="215"/>
    <n v="10783.11"/>
    <n v="2.4984494464661102"/>
    <n v="2.3688730228471004"/>
    <n v="50.154000000000003"/>
    <n v="1.1127596769392132"/>
    <s v="🟡 Mid"/>
  </r>
  <r>
    <n v="303"/>
    <s v="Go_Smart_Campaign_2023"/>
    <x v="1"/>
    <s v="Conversions"/>
    <s v="Central"/>
    <s v="Tablet"/>
    <s v="18-24"/>
    <x v="9"/>
    <x v="3"/>
    <n v="2023"/>
    <n v="13408.41"/>
    <n v="690315"/>
    <n v="19887"/>
    <n v="1155"/>
    <n v="10547.22"/>
    <n v="2.8808587384020341"/>
    <n v="0.53035751998793179"/>
    <n v="9.1317922077922073"/>
    <n v="1.2712743263153703"/>
    <s v="🟡 Mid"/>
  </r>
  <r>
    <n v="304"/>
    <s v="Go_YouTube_PreRoll_2024"/>
    <x v="1"/>
    <s v="Retargeting"/>
    <s v="South"/>
    <s v="Desktop"/>
    <s v="18-24"/>
    <x v="5"/>
    <x v="2"/>
    <n v="2024"/>
    <n v="13402.46"/>
    <n v="699663"/>
    <n v="18647"/>
    <n v="1894"/>
    <n v="11547.23"/>
    <n v="2.665140217504713"/>
    <n v="0.61925403550168923"/>
    <n v="6.0967423442449835"/>
    <n v="1.1606645056866451"/>
    <s v="🟡 Mid"/>
  </r>
  <r>
    <n v="305"/>
    <s v="Di_Native_2024"/>
    <x v="0"/>
    <s v="Retargeting"/>
    <s v="North"/>
    <s v="Tablet"/>
    <s v="55+"/>
    <x v="7"/>
    <x v="0"/>
    <n v="2024"/>
    <n v="2723.24"/>
    <n v="116425"/>
    <n v="58"/>
    <n v="7"/>
    <n v="2584.98"/>
    <n v="4.9817479063774962E-2"/>
    <n v="44.56862068965517"/>
    <n v="369.28285714285715"/>
    <n v="1.0534859070476366"/>
    <s v="🔴 Low"/>
  </r>
  <r>
    <n v="306"/>
    <s v="Go_Search_Competitor_2024"/>
    <x v="1"/>
    <s v="Retargeting"/>
    <s v="East"/>
    <s v="Desktop"/>
    <s v="18-24"/>
    <x v="10"/>
    <x v="1"/>
    <n v="2024"/>
    <n v="18251.95"/>
    <n v="726634"/>
    <n v="20416"/>
    <n v="2749"/>
    <n v="13485.52"/>
    <n v="2.8096675905614106"/>
    <n v="0.66053683385579942"/>
    <n v="4.9056093124772646"/>
    <n v="1.3534479945897526"/>
    <s v="🟡 Mid"/>
  </r>
  <r>
    <n v="307"/>
    <s v="Go_Search_Brand_2023"/>
    <x v="1"/>
    <s v="Brand Awareness"/>
    <s v="North"/>
    <s v="Tablet"/>
    <s v="45-54"/>
    <x v="0"/>
    <x v="0"/>
    <n v="2023"/>
    <n v="15700.76"/>
    <n v="83693"/>
    <n v="2311"/>
    <n v="20"/>
    <n v="10944.8"/>
    <n v="2.7612823055691633"/>
    <n v="4.7359584595413242"/>
    <n v="547.24"/>
    <n v="1.4345406037570354"/>
    <s v="🟡 Mid"/>
  </r>
  <r>
    <n v="308"/>
    <s v="Fa_Stories_2024"/>
    <x v="2"/>
    <s v="Retargeting"/>
    <s v="North"/>
    <s v="Desktop"/>
    <s v="25-34"/>
    <x v="8"/>
    <x v="0"/>
    <n v="2024"/>
    <n v="7524.19"/>
    <n v="714641"/>
    <n v="9805"/>
    <n v="833"/>
    <n v="6848.42"/>
    <n v="1.3720175584664187"/>
    <n v="0.69846200917899037"/>
    <n v="8.2213925570228099"/>
    <n v="1.0986753148901498"/>
    <s v="🔴 Low"/>
  </r>
  <r>
    <n v="309"/>
    <s v="Go_Search_Brand_2024"/>
    <x v="1"/>
    <s v="Brand Awareness"/>
    <s v="South"/>
    <s v="Tablet"/>
    <s v="25-34"/>
    <x v="2"/>
    <x v="2"/>
    <n v="2024"/>
    <n v="17943.29"/>
    <n v="657011"/>
    <n v="17783"/>
    <n v="188"/>
    <n v="13348.79"/>
    <n v="2.7066517912181074"/>
    <n v="0.75064893437552727"/>
    <n v="71.004202127659582"/>
    <n v="1.3441884994819755"/>
    <s v="🟡 Mid"/>
  </r>
  <r>
    <n v="310"/>
    <s v="Go_Smart_Campaign_2024"/>
    <x v="1"/>
    <s v="Retargeting"/>
    <s v="West"/>
    <s v="Mobile"/>
    <s v="45-54"/>
    <x v="6"/>
    <x v="3"/>
    <n v="2024"/>
    <n v="16098.03"/>
    <n v="685364"/>
    <n v="24722"/>
    <n v="3235"/>
    <n v="10786.44"/>
    <n v="3.6071343111105922"/>
    <n v="0.43630936008413562"/>
    <n v="3.3342936630602784"/>
    <n v="1.4924321648291743"/>
    <s v="🟢 High"/>
  </r>
  <r>
    <n v="311"/>
    <s v="Go_Search_Brand_2024"/>
    <x v="1"/>
    <s v="Lead Generation"/>
    <s v="North"/>
    <s v="Mobile"/>
    <s v="55+"/>
    <x v="4"/>
    <x v="1"/>
    <n v="2024"/>
    <n v="4034.58"/>
    <n v="403197"/>
    <n v="11794"/>
    <n v="1082"/>
    <n v="3911.84"/>
    <n v="2.9251209706421424"/>
    <n v="0.33168051551636424"/>
    <n v="3.6153789279112756"/>
    <n v="1.0313765389177472"/>
    <s v="🟡 Mid"/>
  </r>
  <r>
    <n v="312"/>
    <s v="Di_Native_2023"/>
    <x v="0"/>
    <s v="Retargeting"/>
    <s v="West"/>
    <s v="Desktop"/>
    <s v="45-54"/>
    <x v="4"/>
    <x v="1"/>
    <n v="2023"/>
    <n v="1735.05"/>
    <n v="691789"/>
    <n v="345"/>
    <n v="29"/>
    <n v="1554.46"/>
    <n v="4.987069756818914E-2"/>
    <n v="4.5056811594202903"/>
    <n v="53.60206896551724"/>
    <n v="1.1161753920975772"/>
    <s v="🔴 Low"/>
  </r>
  <r>
    <n v="313"/>
    <s v="Di_Interstitial_2024"/>
    <x v="0"/>
    <s v="Conversions"/>
    <s v="Central"/>
    <s v="Tablet"/>
    <s v="55+"/>
    <x v="7"/>
    <x v="0"/>
    <n v="2024"/>
    <n v="13403.41"/>
    <n v="265651"/>
    <n v="132"/>
    <n v="12"/>
    <n v="8878.89"/>
    <n v="4.9689253945966703E-2"/>
    <n v="67.264318181818183"/>
    <n v="739.90749999999991"/>
    <n v="1.5095817157324847"/>
    <s v="🔴 Low"/>
  </r>
  <r>
    <n v="314"/>
    <s v="Di_Banner_Standard_2023"/>
    <x v="0"/>
    <s v="Brand Awareness"/>
    <s v="South"/>
    <s v="Tablet"/>
    <s v="45-54"/>
    <x v="4"/>
    <x v="1"/>
    <n v="2023"/>
    <n v="1959.87"/>
    <n v="520530"/>
    <n v="4079"/>
    <n v="40"/>
    <n v="1448.3"/>
    <n v="0.78362438284056635"/>
    <n v="0.35506251532238292"/>
    <n v="36.207499999999996"/>
    <n v="1.3532210177449424"/>
    <s v="🔴 Low"/>
  </r>
  <r>
    <n v="315"/>
    <s v="Fa_Feed_Image_2023"/>
    <x v="2"/>
    <s v="Traffic"/>
    <s v="South"/>
    <s v="Tablet"/>
    <s v="45-54"/>
    <x v="1"/>
    <x v="1"/>
    <n v="2023"/>
    <n v="2037.2"/>
    <n v="470765"/>
    <n v="8344"/>
    <n v="297"/>
    <n v="1604.84"/>
    <n v="1.7724342293925843"/>
    <n v="0.19233461169702779"/>
    <n v="5.4035016835016831"/>
    <n v="1.2694100346451984"/>
    <s v="🟡 Mid"/>
  </r>
  <r>
    <n v="316"/>
    <s v="Go_Discovery_2023"/>
    <x v="1"/>
    <s v="Brand Awareness"/>
    <s v="North"/>
    <s v="Mobile"/>
    <s v="45-54"/>
    <x v="8"/>
    <x v="0"/>
    <n v="2023"/>
    <n v="16605.22"/>
    <n v="638553"/>
    <n v="14577"/>
    <n v="283"/>
    <n v="14409.45"/>
    <n v="2.2828175578221388"/>
    <n v="0.98850586540440422"/>
    <n v="50.916784452296824"/>
    <n v="1.1523840257608722"/>
    <s v="🟡 Mid"/>
  </r>
  <r>
    <n v="317"/>
    <s v="Di_Interstitial_2024"/>
    <x v="0"/>
    <s v="Retargeting"/>
    <s v="East"/>
    <s v="Mobile"/>
    <s v="18-24"/>
    <x v="11"/>
    <x v="2"/>
    <n v="2024"/>
    <n v="6973.47"/>
    <n v="654863"/>
    <n v="376"/>
    <n v="33"/>
    <n v="5509.49"/>
    <n v="5.7416589424047468E-2"/>
    <n v="14.652898936170212"/>
    <n v="166.95424242424241"/>
    <n v="1.2657196945633806"/>
    <s v="🔴 Low"/>
  </r>
  <r>
    <n v="318"/>
    <s v="Go_PMax_2024"/>
    <x v="1"/>
    <s v="Brand Awareness"/>
    <s v="East"/>
    <s v="Mobile"/>
    <s v="35-44"/>
    <x v="10"/>
    <x v="1"/>
    <n v="2024"/>
    <n v="14190.87"/>
    <n v="53001"/>
    <n v="1236"/>
    <n v="22"/>
    <n v="11449.44"/>
    <n v="2.3320314711043189"/>
    <n v="9.2633009708737877"/>
    <n v="520.42909090909097"/>
    <n v="1.2394379113738314"/>
    <s v="🟡 Mid"/>
  </r>
  <r>
    <n v="319"/>
    <s v="Di_Video_Display_2023"/>
    <x v="0"/>
    <s v="Brand Awareness"/>
    <s v="East"/>
    <s v="Tablet"/>
    <s v="25-34"/>
    <x v="11"/>
    <x v="2"/>
    <n v="2023"/>
    <n v="18639.22"/>
    <n v="416981"/>
    <n v="3753"/>
    <n v="29"/>
    <n v="13829.04"/>
    <n v="0.90004100906276308"/>
    <n v="3.6847961630695445"/>
    <n v="476.86344827586208"/>
    <n v="1.3478318090048189"/>
    <s v="🔴 Low"/>
  </r>
  <r>
    <n v="320"/>
    <s v="Fa_Feed_Image_2023"/>
    <x v="2"/>
    <s v="Traffic"/>
    <s v="North"/>
    <s v="Mobile"/>
    <s v="45-54"/>
    <x v="3"/>
    <x v="3"/>
    <n v="2023"/>
    <n v="19295.169999999998"/>
    <n v="9548"/>
    <n v="239"/>
    <n v="6"/>
    <n v="11970.72"/>
    <n v="2.5031420192710518"/>
    <n v="50.08669456066945"/>
    <n v="1995.12"/>
    <n v="1.6118637809588729"/>
    <s v="🟡 Mid"/>
  </r>
  <r>
    <n v="321"/>
    <s v="Fa_Instant_Experience_2023"/>
    <x v="2"/>
    <s v="Traffic"/>
    <s v="South"/>
    <s v="Tablet"/>
    <s v="55+"/>
    <x v="0"/>
    <x v="0"/>
    <n v="2023"/>
    <n v="2519.3000000000002"/>
    <n v="694461"/>
    <n v="5310"/>
    <n v="133"/>
    <n v="1918.59"/>
    <n v="0.76462177141696941"/>
    <n v="0.36131638418079093"/>
    <n v="14.425488721804511"/>
    <n v="1.3130997242766824"/>
    <s v="🔴 Low"/>
  </r>
  <r>
    <n v="322"/>
    <s v="Di_Interstitial_2023"/>
    <x v="0"/>
    <s v="Conversions"/>
    <s v="West"/>
    <s v="Mobile"/>
    <s v="35-44"/>
    <x v="4"/>
    <x v="1"/>
    <n v="2023"/>
    <n v="3194.51"/>
    <n v="636792"/>
    <n v="564"/>
    <n v="55"/>
    <n v="2920.87"/>
    <n v="8.8568951871254659E-2"/>
    <n v="5.178847517730496"/>
    <n v="53.106727272727269"/>
    <n v="1.0936844159445647"/>
    <s v="🔴 Low"/>
  </r>
  <r>
    <n v="323"/>
    <s v="Fa_Lead_Form_2024"/>
    <x v="2"/>
    <s v="Traffic"/>
    <s v="South"/>
    <s v="Desktop"/>
    <s v="25-34"/>
    <x v="9"/>
    <x v="3"/>
    <n v="2024"/>
    <n v="13888.92"/>
    <n v="710034"/>
    <n v="15117"/>
    <n v="593"/>
    <n v="9370.6"/>
    <n v="2.1290529749279612"/>
    <n v="0.61987166765892709"/>
    <n v="15.802023608768971"/>
    <n v="1.4821804366849507"/>
    <s v="🟡 Mid"/>
  </r>
  <r>
    <n v="324"/>
    <s v="Di_Retargeting_Display_2024"/>
    <x v="0"/>
    <s v="Brand Awareness"/>
    <s v="East"/>
    <s v="Tablet"/>
    <s v="45-54"/>
    <x v="9"/>
    <x v="3"/>
    <n v="2024"/>
    <n v="13647.75"/>
    <n v="564837"/>
    <n v="7245"/>
    <n v="67"/>
    <n v="13045.43"/>
    <n v="1.2826709298434771"/>
    <n v="1.8006114561766735"/>
    <n v="194.70791044776121"/>
    <n v="1.0461709579523251"/>
    <s v="🔴 Low"/>
  </r>
  <r>
    <n v="325"/>
    <s v="Go_Search_Generic_2023"/>
    <x v="1"/>
    <s v="Brand Awareness"/>
    <s v="West"/>
    <s v="Desktop"/>
    <s v="18-24"/>
    <x v="3"/>
    <x v="3"/>
    <n v="2023"/>
    <n v="4398.1000000000004"/>
    <n v="791626"/>
    <n v="24676"/>
    <n v="376"/>
    <n v="2909.34"/>
    <n v="3.1171285430241049"/>
    <n v="0.11790160479818447"/>
    <n v="7.7376063829787238"/>
    <n v="1.5117174341946971"/>
    <s v="🟢 High"/>
  </r>
  <r>
    <n v="326"/>
    <s v="Go_YouTube_PreRoll_2023"/>
    <x v="1"/>
    <s v="Lead Generation"/>
    <s v="Central"/>
    <s v="Desktop"/>
    <s v="35-44"/>
    <x v="4"/>
    <x v="1"/>
    <n v="2023"/>
    <n v="12514.12"/>
    <n v="713340"/>
    <n v="10005"/>
    <n v="844"/>
    <n v="12054.02"/>
    <n v="1.4025569854487341"/>
    <n v="1.2047996001999002"/>
    <n v="14.282014218009479"/>
    <n v="1.0381698387757778"/>
    <s v="🔴 Low"/>
  </r>
  <r>
    <n v="327"/>
    <s v="Di_Video_Display_2023"/>
    <x v="0"/>
    <s v="Lead Generation"/>
    <s v="Central"/>
    <s v="Tablet"/>
    <s v="35-44"/>
    <x v="6"/>
    <x v="3"/>
    <n v="2023"/>
    <n v="18566.45"/>
    <n v="411380"/>
    <n v="205"/>
    <n v="16"/>
    <n v="18671.349999999999"/>
    <n v="4.9832271865428553E-2"/>
    <n v="91.079756097560974"/>
    <n v="1166.9593749999999"/>
    <n v="0.99438176671745759"/>
    <s v="🔴 Low"/>
  </r>
  <r>
    <n v="328"/>
    <s v="Go_Search_Brand_2024"/>
    <x v="1"/>
    <s v="Conversions"/>
    <s v="South"/>
    <s v="Tablet"/>
    <s v="45-54"/>
    <x v="11"/>
    <x v="2"/>
    <n v="2024"/>
    <n v="15224.6"/>
    <n v="578167"/>
    <n v="18737"/>
    <n v="1905"/>
    <n v="10391.049999999999"/>
    <n v="3.2407591578211834"/>
    <n v="0.55457383786091685"/>
    <n v="5.4546194225721782"/>
    <n v="1.4651647331116684"/>
    <s v="🟢 High"/>
  </r>
  <r>
    <n v="329"/>
    <s v="Di_Interstitial_2023"/>
    <x v="0"/>
    <s v="Conversions"/>
    <s v="West"/>
    <s v="Desktop"/>
    <s v="18-24"/>
    <x v="0"/>
    <x v="0"/>
    <n v="2023"/>
    <n v="14834.05"/>
    <n v="130151"/>
    <n v="417"/>
    <n v="37"/>
    <n v="9710.7800000000007"/>
    <n v="0.32039707724105082"/>
    <n v="23.287242206235014"/>
    <n v="262.45351351351354"/>
    <n v="1.5275858375949201"/>
    <s v="🔴 Low"/>
  </r>
  <r>
    <n v="330"/>
    <s v="Di_Programmatic_2023"/>
    <x v="0"/>
    <s v="Brand Awareness"/>
    <s v="East"/>
    <s v="Mobile"/>
    <s v="25-34"/>
    <x v="8"/>
    <x v="0"/>
    <n v="2023"/>
    <n v="18608.25"/>
    <n v="630874"/>
    <n v="6742"/>
    <n v="38"/>
    <n v="18451.95"/>
    <n v="1.0686761540339274"/>
    <n v="2.7368659151587069"/>
    <n v="485.57763157894738"/>
    <n v="1.0084706494435547"/>
    <s v="🔴 Low"/>
  </r>
  <r>
    <n v="331"/>
    <s v="Di_Programmatic_2024"/>
    <x v="0"/>
    <s v="Retargeting"/>
    <s v="Central"/>
    <s v="Tablet"/>
    <s v="35-44"/>
    <x v="7"/>
    <x v="0"/>
    <n v="2024"/>
    <n v="10745.2"/>
    <n v="197800"/>
    <n v="98"/>
    <n v="7"/>
    <n v="8898.0300000000007"/>
    <n v="4.9544994944388271E-2"/>
    <n v="90.796224489795918"/>
    <n v="1271.1471428571429"/>
    <n v="1.2075931414032095"/>
    <s v="🔴 Low"/>
  </r>
  <r>
    <n v="332"/>
    <s v="Fa_Feed_Video_2024"/>
    <x v="2"/>
    <s v="Conversions"/>
    <s v="South"/>
    <s v="Desktop"/>
    <s v="35-44"/>
    <x v="2"/>
    <x v="2"/>
    <n v="2024"/>
    <n v="6224.7"/>
    <n v="794216"/>
    <n v="11806"/>
    <n v="1101"/>
    <n v="4976.2700000000004"/>
    <n v="1.4864973760286873"/>
    <n v="0.42150347281043543"/>
    <n v="4.5197729336966397"/>
    <n v="1.2508766606313562"/>
    <s v="🔴 Low"/>
  </r>
  <r>
    <n v="333"/>
    <s v="Di_Banner_Standard_2023"/>
    <x v="0"/>
    <s v="Brand Awareness"/>
    <s v="East"/>
    <s v="Mobile"/>
    <s v="25-34"/>
    <x v="3"/>
    <x v="3"/>
    <n v="2023"/>
    <n v="19198.490000000002"/>
    <n v="720706"/>
    <n v="7703"/>
    <n v="130"/>
    <n v="12433.27"/>
    <n v="1.0688130805071694"/>
    <n v="1.6140815266779178"/>
    <n v="95.640538461538469"/>
    <n v="1.5441223427143462"/>
    <s v="🔴 Low"/>
  </r>
  <r>
    <n v="334"/>
    <s v="Fa_Stories_2024"/>
    <x v="2"/>
    <s v="Brand Awareness"/>
    <s v="Central"/>
    <s v="Mobile"/>
    <s v="55+"/>
    <x v="10"/>
    <x v="1"/>
    <n v="2024"/>
    <n v="9992.69"/>
    <n v="315833"/>
    <n v="4034"/>
    <n v="74"/>
    <n v="6803.57"/>
    <n v="1.2772572847042583"/>
    <n v="1.6865567674764501"/>
    <n v="91.940135135135137"/>
    <n v="1.4687421456676422"/>
    <s v="🔴 Low"/>
  </r>
  <r>
    <n v="335"/>
    <s v="Di_Rich_Media_2023"/>
    <x v="0"/>
    <s v="Brand Awareness"/>
    <s v="South"/>
    <s v="Tablet"/>
    <s v="55+"/>
    <x v="8"/>
    <x v="0"/>
    <n v="2023"/>
    <n v="4610.24"/>
    <n v="665093"/>
    <n v="5638"/>
    <n v="64"/>
    <n v="2967.38"/>
    <n v="0.84770099820626588"/>
    <n v="0.52631784320681096"/>
    <n v="46.365312500000002"/>
    <n v="1.5536399113022261"/>
    <s v="🔴 Low"/>
  </r>
  <r>
    <n v="336"/>
    <s v="Di_Video_Display_2024"/>
    <x v="0"/>
    <s v="Brand Awareness"/>
    <s v="South"/>
    <s v="Desktop"/>
    <s v="45-54"/>
    <x v="6"/>
    <x v="3"/>
    <n v="2024"/>
    <n v="1238.78"/>
    <n v="81806"/>
    <n v="40"/>
    <n v="0"/>
    <n v="1156.49"/>
    <n v="4.8896168985160013E-2"/>
    <n v="28.91225"/>
    <s v="-"/>
    <n v="1.0711549602677066"/>
    <s v="🔴 Low"/>
  </r>
  <r>
    <n v="337"/>
    <s v="Di_Rich_Media_2024"/>
    <x v="0"/>
    <s v="Traffic"/>
    <s v="South"/>
    <s v="Mobile"/>
    <s v="45-54"/>
    <x v="1"/>
    <x v="1"/>
    <n v="2024"/>
    <n v="12789.24"/>
    <n v="459059"/>
    <n v="2289"/>
    <n v="31"/>
    <n v="7705.23"/>
    <n v="0.49862871657020119"/>
    <n v="3.3661992136304062"/>
    <n v="248.55580645161288"/>
    <n v="1.6598128803423131"/>
    <s v="🔴 Low"/>
  </r>
  <r>
    <n v="338"/>
    <s v="Di_Rich_Media_2023"/>
    <x v="0"/>
    <s v="Traffic"/>
    <s v="North"/>
    <s v="Tablet"/>
    <s v="18-24"/>
    <x v="2"/>
    <x v="2"/>
    <n v="2023"/>
    <n v="6151.81"/>
    <n v="724195"/>
    <n v="8358"/>
    <n v="159"/>
    <n v="3914.59"/>
    <n v="1.1541090452157223"/>
    <n v="0.46836444125388849"/>
    <n v="24.620062893081762"/>
    <n v="1.5715081272879152"/>
    <s v="🔴 Low"/>
  </r>
  <r>
    <n v="339"/>
    <s v="Fa_Messenger_2023"/>
    <x v="2"/>
    <s v="Retargeting"/>
    <s v="North"/>
    <s v="Mobile"/>
    <s v="25-34"/>
    <x v="10"/>
    <x v="1"/>
    <n v="2023"/>
    <n v="3159.44"/>
    <n v="414985"/>
    <n v="7809"/>
    <n v="652"/>
    <n v="2737.02"/>
    <n v="1.8817547622203212"/>
    <n v="0.35049558202074527"/>
    <n v="4.1978834355828223"/>
    <n v="1.1543357374078378"/>
    <s v="🟡 Mid"/>
  </r>
  <r>
    <n v="340"/>
    <s v="Fa_Lead_Form_2023"/>
    <x v="2"/>
    <s v="Brand Awareness"/>
    <s v="Central"/>
    <s v="Tablet"/>
    <s v="25-34"/>
    <x v="7"/>
    <x v="0"/>
    <n v="2023"/>
    <n v="598.08000000000004"/>
    <n v="630637"/>
    <n v="4216"/>
    <n v="46"/>
    <n v="496.38"/>
    <n v="0.66853039070019671"/>
    <n v="0.11773719165085389"/>
    <n v="10.790869565217392"/>
    <n v="1.204883355493775"/>
    <s v="🔴 Low"/>
  </r>
  <r>
    <n v="341"/>
    <s v="Go_YouTube_PreRoll_2023"/>
    <x v="1"/>
    <s v="Lead Generation"/>
    <s v="East"/>
    <s v="Desktop"/>
    <s v="45-54"/>
    <x v="3"/>
    <x v="3"/>
    <n v="2023"/>
    <n v="3638.61"/>
    <n v="236512"/>
    <n v="5952"/>
    <n v="279"/>
    <n v="3208.57"/>
    <n v="2.5165742118793126"/>
    <n v="0.53907426075268816"/>
    <n v="11.500250896057349"/>
    <n v="1.1340285547767386"/>
    <s v="🟡 Mid"/>
  </r>
  <r>
    <n v="342"/>
    <s v="Di_Banner_Standard_2024"/>
    <x v="0"/>
    <s v="Traffic"/>
    <s v="West"/>
    <s v="Tablet"/>
    <s v="55+"/>
    <x v="7"/>
    <x v="0"/>
    <n v="2024"/>
    <n v="13597.86"/>
    <n v="267865"/>
    <n v="1189"/>
    <n v="15"/>
    <n v="12302.63"/>
    <n v="0.44388031284415652"/>
    <n v="10.34703952901598"/>
    <n v="820.17533333333324"/>
    <n v="1.1052807407846941"/>
    <s v="🔴 Low"/>
  </r>
  <r>
    <n v="343"/>
    <s v="Fa_Lead_Form_2024"/>
    <x v="2"/>
    <s v="Conversions"/>
    <s v="South"/>
    <s v="Tablet"/>
    <s v="25-34"/>
    <x v="7"/>
    <x v="0"/>
    <n v="2024"/>
    <n v="12580.56"/>
    <n v="207897"/>
    <n v="2856"/>
    <n v="266"/>
    <n v="9163.4699999999993"/>
    <n v="1.3737571970735507"/>
    <n v="3.2084978991596635"/>
    <n v="34.449135338345862"/>
    <n v="1.3729034961646625"/>
    <s v="🔴 Low"/>
  </r>
  <r>
    <n v="344"/>
    <s v="Di_Native_2023"/>
    <x v="0"/>
    <s v="Traffic"/>
    <s v="Central"/>
    <s v="Mobile"/>
    <s v="35-44"/>
    <x v="1"/>
    <x v="1"/>
    <n v="2023"/>
    <n v="594.22"/>
    <n v="263133"/>
    <n v="3153"/>
    <n v="105"/>
    <n v="534.28"/>
    <n v="1.1982533547673611"/>
    <n v="0.16945131620678719"/>
    <n v="5.0883809523809518"/>
    <n v="1.1121883656509697"/>
    <s v="🔴 Low"/>
  </r>
  <r>
    <n v="345"/>
    <s v="Di_Video_Display_2024"/>
    <x v="0"/>
    <s v="Conversions"/>
    <s v="East"/>
    <s v="Desktop"/>
    <s v="35-44"/>
    <x v="4"/>
    <x v="1"/>
    <n v="2024"/>
    <n v="9184.48"/>
    <n v="325310"/>
    <n v="1498"/>
    <n v="142"/>
    <n v="5826.9"/>
    <n v="0.46048384617749222"/>
    <n v="3.8897863818424563"/>
    <n v="41.034507042253516"/>
    <n v="1.5762206318968921"/>
    <s v="🔴 Low"/>
  </r>
  <r>
    <n v="346"/>
    <s v="Fa_Carousel_2023"/>
    <x v="2"/>
    <s v="Traffic"/>
    <s v="South"/>
    <s v="Mobile"/>
    <s v="18-24"/>
    <x v="6"/>
    <x v="3"/>
    <n v="2023"/>
    <n v="17896.05"/>
    <n v="536815"/>
    <n v="8694"/>
    <n v="251"/>
    <n v="16845.73"/>
    <n v="1.6195523597514971"/>
    <n v="1.9376270991488382"/>
    <n v="67.11446215139442"/>
    <n v="1.062349331254864"/>
    <s v="🟡 Mid"/>
  </r>
  <r>
    <n v="347"/>
    <s v="Di_Video_Display_2024"/>
    <x v="0"/>
    <s v="Traffic"/>
    <s v="South"/>
    <s v="Desktop"/>
    <s v="55+"/>
    <x v="5"/>
    <x v="2"/>
    <n v="2024"/>
    <n v="13251.21"/>
    <n v="160852"/>
    <n v="745"/>
    <n v="24"/>
    <n v="12031.51"/>
    <n v="0.46315868002884641"/>
    <n v="16.149677852348994"/>
    <n v="501.31291666666669"/>
    <n v="1.1013754715742246"/>
    <s v="🔴 Low"/>
  </r>
  <r>
    <n v="348"/>
    <s v="Fa_Carousel_2024"/>
    <x v="2"/>
    <s v="Retargeting"/>
    <s v="Central"/>
    <s v="Tablet"/>
    <s v="18-24"/>
    <x v="1"/>
    <x v="1"/>
    <n v="2024"/>
    <n v="10292.26"/>
    <n v="699868"/>
    <n v="13055"/>
    <n v="1032"/>
    <n v="10342.49"/>
    <n v="1.8653517520446712"/>
    <n v="0.79222443508234386"/>
    <n v="10.021792635658915"/>
    <n v="0.99514333588913317"/>
    <s v="🟡 Mid"/>
  </r>
  <r>
    <n v="349"/>
    <s v="Di_Native_2023"/>
    <x v="0"/>
    <s v="Traffic"/>
    <s v="South"/>
    <s v="Mobile"/>
    <s v="25-34"/>
    <x v="0"/>
    <x v="0"/>
    <n v="2023"/>
    <n v="14850.44"/>
    <n v="511990"/>
    <n v="4266"/>
    <n v="140"/>
    <n v="10355.73"/>
    <n v="0.83321939881638318"/>
    <n v="2.4275035161744021"/>
    <n v="73.969499999999996"/>
    <n v="1.4340312078433872"/>
    <s v="🔴 Low"/>
  </r>
  <r>
    <n v="350"/>
    <s v="Fa_Lead_Form_2024"/>
    <x v="2"/>
    <s v="Lead Generation"/>
    <s v="North"/>
    <s v="Tablet"/>
    <s v="25-34"/>
    <x v="10"/>
    <x v="1"/>
    <n v="2024"/>
    <n v="8067.82"/>
    <n v="481728"/>
    <n v="7449"/>
    <n v="691"/>
    <n v="4975.91"/>
    <n v="1.5463082901554404"/>
    <n v="0.66799704658343395"/>
    <n v="7.2010274963820544"/>
    <n v="1.6213757885492301"/>
    <s v="🟡 Mid"/>
  </r>
  <r>
    <n v="351"/>
    <s v="Di_Retargeting_Display_2024"/>
    <x v="0"/>
    <s v="Brand Awareness"/>
    <s v="Central"/>
    <s v="Tablet"/>
    <s v="35-44"/>
    <x v="6"/>
    <x v="3"/>
    <n v="2024"/>
    <n v="11783.31"/>
    <n v="602856"/>
    <n v="6241"/>
    <n v="65"/>
    <n v="10303.34"/>
    <n v="1.0352389293628992"/>
    <n v="1.6509117128665278"/>
    <n v="158.51292307692307"/>
    <n v="1.1436398294145393"/>
    <s v="🔴 Low"/>
  </r>
  <r>
    <n v="352"/>
    <s v="Go_YouTube_PreRoll_2024"/>
    <x v="1"/>
    <s v="Retargeting"/>
    <s v="South"/>
    <s v="Tablet"/>
    <s v="45-54"/>
    <x v="2"/>
    <x v="2"/>
    <n v="2024"/>
    <n v="9993.7999999999993"/>
    <n v="510529"/>
    <n v="17594"/>
    <n v="2304"/>
    <n v="6023.97"/>
    <n v="3.4462293033304672"/>
    <n v="0.34238774582243947"/>
    <n v="2.6145703125000002"/>
    <n v="1.6590056059376124"/>
    <s v="🟢 High"/>
  </r>
  <r>
    <n v="353"/>
    <s v="Go_Discovery_2024"/>
    <x v="1"/>
    <s v="Lead Generation"/>
    <s v="South"/>
    <s v="Desktop"/>
    <s v="55+"/>
    <x v="3"/>
    <x v="3"/>
    <n v="2024"/>
    <n v="4624.58"/>
    <n v="200984"/>
    <n v="6377"/>
    <n v="567"/>
    <n v="4058.84"/>
    <n v="3.17288938422959"/>
    <n v="0.63648110396738278"/>
    <n v="7.158447971781305"/>
    <n v="1.1393846517724275"/>
    <s v="🟢 High"/>
  </r>
  <r>
    <n v="354"/>
    <s v="Fa_Lead_Form_2023"/>
    <x v="2"/>
    <s v="Brand Awareness"/>
    <s v="West"/>
    <s v="Tablet"/>
    <s v="45-54"/>
    <x v="4"/>
    <x v="1"/>
    <n v="2023"/>
    <n v="12020.42"/>
    <n v="683700"/>
    <n v="14815"/>
    <n v="259"/>
    <n v="7325.57"/>
    <n v="2.1668860611379261"/>
    <n v="0.49446979412757336"/>
    <n v="28.284054054054053"/>
    <n v="1.6408852826469478"/>
    <s v="🟡 Mid"/>
  </r>
  <r>
    <n v="355"/>
    <s v="Go_Shopping_2023"/>
    <x v="1"/>
    <s v="Traffic"/>
    <s v="Central"/>
    <s v="Desktop"/>
    <s v="25-34"/>
    <x v="3"/>
    <x v="3"/>
    <n v="2023"/>
    <n v="17870.55"/>
    <n v="158999"/>
    <n v="5028"/>
    <n v="77"/>
    <n v="17914.509999999998"/>
    <n v="3.1622840395222611"/>
    <n v="3.5629494828957835"/>
    <n v="232.65597402597402"/>
    <n v="0.99754612322636793"/>
    <s v="🟢 High"/>
  </r>
  <r>
    <n v="356"/>
    <s v="Di_Banner_Standard_2024"/>
    <x v="0"/>
    <s v="Conversions"/>
    <s v="North"/>
    <s v="Desktop"/>
    <s v="45-54"/>
    <x v="9"/>
    <x v="3"/>
    <n v="2024"/>
    <n v="17412.400000000001"/>
    <n v="183852"/>
    <n v="1531"/>
    <n v="100"/>
    <n v="13451.46"/>
    <n v="0.83273502599917315"/>
    <n v="8.7860613977792283"/>
    <n v="134.5146"/>
    <n v="1.2944617164233476"/>
    <s v="🔴 Low"/>
  </r>
  <r>
    <n v="357"/>
    <s v="Go_Shopping_2024"/>
    <x v="1"/>
    <s v="Traffic"/>
    <s v="Central"/>
    <s v="Mobile"/>
    <s v="25-34"/>
    <x v="6"/>
    <x v="3"/>
    <n v="2024"/>
    <n v="18485.86"/>
    <n v="630510"/>
    <n v="15735"/>
    <n v="339"/>
    <n v="11934.46"/>
    <n v="2.4955988009706429"/>
    <n v="0.75846584048299959"/>
    <n v="35.204896755162238"/>
    <n v="1.5489481719323708"/>
    <s v="🟡 Mid"/>
  </r>
  <r>
    <n v="358"/>
    <s v="Go_Smart_Campaign_2023"/>
    <x v="1"/>
    <s v="Lead Generation"/>
    <s v="Central"/>
    <s v="Desktop"/>
    <s v="25-34"/>
    <x v="4"/>
    <x v="1"/>
    <n v="2023"/>
    <n v="17616.18"/>
    <n v="562244"/>
    <n v="14647"/>
    <n v="1028"/>
    <n v="11439.19"/>
    <n v="2.6050967195737083"/>
    <n v="0.78099201201611257"/>
    <n v="11.127616731517509"/>
    <n v="1.5399849115190849"/>
    <s v="🟡 Mid"/>
  </r>
  <r>
    <n v="359"/>
    <s v="Fa_Carousel_2024"/>
    <x v="2"/>
    <s v="Traffic"/>
    <s v="Central"/>
    <s v="Desktop"/>
    <s v="45-54"/>
    <x v="10"/>
    <x v="1"/>
    <n v="2024"/>
    <n v="7722.36"/>
    <n v="50548"/>
    <n v="722"/>
    <n v="27"/>
    <n v="6197.13"/>
    <n v="1.4283453351270081"/>
    <n v="8.5832825484764541"/>
    <n v="229.52333333333334"/>
    <n v="1.2461187678812611"/>
    <s v="🔴 Low"/>
  </r>
  <r>
    <n v="360"/>
    <s v="Fa_Lead_Form_2024"/>
    <x v="2"/>
    <s v="Traffic"/>
    <s v="Central"/>
    <s v="Desktop"/>
    <s v="45-54"/>
    <x v="0"/>
    <x v="0"/>
    <n v="2024"/>
    <n v="9804.25"/>
    <n v="248807"/>
    <n v="2734"/>
    <n v="101"/>
    <n v="6227.69"/>
    <n v="1.0988436820507461"/>
    <n v="2.2778675932699342"/>
    <n v="61.660297029702967"/>
    <n v="1.5742996199232782"/>
    <s v="🔴 Low"/>
  </r>
  <r>
    <n v="361"/>
    <s v="Di_Video_Display_2023"/>
    <x v="0"/>
    <s v="Conversions"/>
    <s v="South"/>
    <s v="Desktop"/>
    <s v="18-24"/>
    <x v="9"/>
    <x v="3"/>
    <n v="2023"/>
    <n v="10635.36"/>
    <n v="398247"/>
    <n v="1072"/>
    <n v="77"/>
    <n v="7999.42"/>
    <n v="0.26917967994736935"/>
    <n v="7.4621455223880595"/>
    <n v="103.88857142857142"/>
    <n v="1.3295163899382705"/>
    <s v="🔴 Low"/>
  </r>
  <r>
    <n v="362"/>
    <s v="Go_Smart_Campaign_2024"/>
    <x v="1"/>
    <s v="Traffic"/>
    <s v="East"/>
    <s v="Mobile"/>
    <s v="55+"/>
    <x v="1"/>
    <x v="1"/>
    <n v="2024"/>
    <n v="12431.67"/>
    <n v="718666"/>
    <n v="15596"/>
    <n v="341"/>
    <n v="8522.5499999999993"/>
    <n v="2.170131883239224"/>
    <n v="0.54645742498076422"/>
    <n v="24.992815249266862"/>
    <n v="1.4586796205361072"/>
    <s v="🟡 Mid"/>
  </r>
  <r>
    <n v="363"/>
    <s v="Di_Responsive_2024"/>
    <x v="0"/>
    <s v="Lead Generation"/>
    <s v="East"/>
    <s v="Tablet"/>
    <s v="55+"/>
    <x v="4"/>
    <x v="1"/>
    <n v="2024"/>
    <n v="19775.91"/>
    <n v="610711"/>
    <n v="1607"/>
    <n v="135"/>
    <n v="18967.07"/>
    <n v="0.26313591862599495"/>
    <n v="11.802781580584941"/>
    <n v="140.49681481481483"/>
    <n v="1.0426444358564606"/>
    <s v="🔴 Low"/>
  </r>
  <r>
    <n v="364"/>
    <s v="Di_Rich_Media_2023"/>
    <x v="0"/>
    <s v="Lead Generation"/>
    <s v="West"/>
    <s v="Tablet"/>
    <s v="25-34"/>
    <x v="7"/>
    <x v="0"/>
    <n v="2023"/>
    <n v="10412.700000000001"/>
    <n v="359877"/>
    <n v="4852"/>
    <n v="427"/>
    <n v="8932.9599999999991"/>
    <n v="1.3482384259066293"/>
    <n v="1.8410882110469908"/>
    <n v="20.920281030444961"/>
    <n v="1.1656494599774321"/>
    <s v="🔴 Low"/>
  </r>
  <r>
    <n v="365"/>
    <s v="Di_Banner_Standard_2023"/>
    <x v="0"/>
    <s v="Lead Generation"/>
    <s v="West"/>
    <s v="Tablet"/>
    <s v="18-24"/>
    <x v="7"/>
    <x v="0"/>
    <n v="2023"/>
    <n v="9697.5400000000009"/>
    <n v="634402"/>
    <n v="3380"/>
    <n v="180"/>
    <n v="6144.52"/>
    <n v="0.53278520559519049"/>
    <n v="1.8179053254437871"/>
    <n v="34.136222222222223"/>
    <n v="1.578242075865975"/>
    <s v="🔴 Low"/>
  </r>
  <r>
    <n v="366"/>
    <s v="Go_Smart_Campaign_2023"/>
    <x v="1"/>
    <s v="Retargeting"/>
    <s v="Central"/>
    <s v="Tablet"/>
    <s v="55+"/>
    <x v="5"/>
    <x v="2"/>
    <n v="2023"/>
    <n v="18941.46"/>
    <n v="188785"/>
    <n v="5421"/>
    <n v="602"/>
    <n v="14857.08"/>
    <n v="2.871520512752602"/>
    <n v="2.7406530160486997"/>
    <n v="24.67953488372093"/>
    <n v="1.2749113553941958"/>
    <s v="🟡 Mid"/>
  </r>
  <r>
    <n v="367"/>
    <s v="Go_YouTube_PreRoll_2023"/>
    <x v="1"/>
    <s v="Lead Generation"/>
    <s v="North"/>
    <s v="Tablet"/>
    <s v="55+"/>
    <x v="10"/>
    <x v="1"/>
    <n v="2023"/>
    <n v="12496.2"/>
    <n v="711765"/>
    <n v="22494"/>
    <n v="900"/>
    <n v="8324.0499999999993"/>
    <n v="3.1603127436724199"/>
    <n v="0.37005645950031119"/>
    <n v="9.2489444444444437"/>
    <n v="1.5012163550194919"/>
    <s v="🟢 High"/>
  </r>
  <r>
    <n v="368"/>
    <s v="Fa_Messenger_2023"/>
    <x v="2"/>
    <s v="Conversions"/>
    <s v="West"/>
    <s v="Mobile"/>
    <s v="55+"/>
    <x v="11"/>
    <x v="2"/>
    <n v="2023"/>
    <n v="14870.05"/>
    <n v="76950"/>
    <n v="1295"/>
    <n v="148"/>
    <n v="12354.47"/>
    <n v="1.6829109811565952"/>
    <n v="9.5401312741312729"/>
    <n v="83.476148648648646"/>
    <n v="1.2036169904496106"/>
    <s v="🟡 Mid"/>
  </r>
  <r>
    <n v="369"/>
    <s v="Di_Retargeting_Display_2024"/>
    <x v="0"/>
    <s v="Conversions"/>
    <s v="East"/>
    <s v="Desktop"/>
    <s v="55+"/>
    <x v="11"/>
    <x v="2"/>
    <n v="2024"/>
    <n v="18629.419999999998"/>
    <n v="607833"/>
    <n v="6139"/>
    <n v="524"/>
    <n v="15548.58"/>
    <n v="1.0099813600117138"/>
    <n v="2.532754520280176"/>
    <n v="29.672862595419847"/>
    <n v="1.1981428529164719"/>
    <s v="🔴 Low"/>
  </r>
  <r>
    <n v="370"/>
    <s v="Di_Programmatic_2024"/>
    <x v="0"/>
    <s v="Conversions"/>
    <s v="North"/>
    <s v="Tablet"/>
    <s v="35-44"/>
    <x v="10"/>
    <x v="1"/>
    <n v="2024"/>
    <n v="14036.74"/>
    <n v="400397"/>
    <n v="2839"/>
    <n v="253"/>
    <n v="12961.33"/>
    <n v="0.7090462715754613"/>
    <n v="4.5654561465304688"/>
    <n v="51.230553359683796"/>
    <n v="1.0829706519315534"/>
    <s v="🔴 Low"/>
  </r>
  <r>
    <n v="371"/>
    <s v="Fa_Instant_Experience_2024"/>
    <x v="2"/>
    <s v="Retargeting"/>
    <s v="Central"/>
    <s v="Desktop"/>
    <s v="45-54"/>
    <x v="7"/>
    <x v="0"/>
    <n v="2024"/>
    <n v="1817.31"/>
    <n v="669442"/>
    <n v="11279"/>
    <n v="1309"/>
    <n v="1701.13"/>
    <n v="1.6848360276170302"/>
    <n v="0.1508227679758844"/>
    <n v="1.299564553093965"/>
    <n v="1.0682957798639727"/>
    <s v="🟡 Mid"/>
  </r>
  <r>
    <n v="372"/>
    <s v="Fa_Lead_Form_2024"/>
    <x v="2"/>
    <s v="Traffic"/>
    <s v="Central"/>
    <s v="Desktop"/>
    <s v="35-44"/>
    <x v="11"/>
    <x v="2"/>
    <n v="2024"/>
    <n v="2313.6799999999998"/>
    <n v="711423"/>
    <n v="8946"/>
    <n v="290"/>
    <n v="1720.54"/>
    <n v="1.257479727250876"/>
    <n v="0.19232506147999107"/>
    <n v="5.9328965517241379"/>
    <n v="1.344740604693875"/>
    <s v="🔴 Low"/>
  </r>
  <r>
    <n v="373"/>
    <s v="Di_Native_2024"/>
    <x v="0"/>
    <s v="Retargeting"/>
    <s v="East"/>
    <s v="Mobile"/>
    <s v="25-34"/>
    <x v="9"/>
    <x v="3"/>
    <n v="2024"/>
    <n v="4064.3"/>
    <n v="787401"/>
    <n v="1987"/>
    <n v="198"/>
    <n v="2779.41"/>
    <n v="0.25234918421490449"/>
    <n v="1.3987971816809259"/>
    <n v="14.037424242424242"/>
    <n v="1.4622887591251381"/>
    <s v="🔴 Low"/>
  </r>
  <r>
    <n v="374"/>
    <s v="Di_Interstitial_2024"/>
    <x v="0"/>
    <s v="Conversions"/>
    <s v="South"/>
    <s v="Desktop"/>
    <s v="25-34"/>
    <x v="11"/>
    <x v="2"/>
    <n v="2024"/>
    <n v="3541.91"/>
    <n v="116871"/>
    <n v="58"/>
    <n v="3"/>
    <n v="2241.9"/>
    <n v="4.9627366925926876E-2"/>
    <n v="38.653448275862068"/>
    <n v="747.30000000000007"/>
    <n v="1.5798697533342254"/>
    <s v="🔴 Low"/>
  </r>
  <r>
    <n v="375"/>
    <s v="Di_Responsive_2024"/>
    <x v="0"/>
    <s v="Traffic"/>
    <s v="North"/>
    <s v="Tablet"/>
    <s v="18-24"/>
    <x v="4"/>
    <x v="1"/>
    <n v="2024"/>
    <n v="12603.02"/>
    <n v="521256"/>
    <n v="7961"/>
    <n v="216"/>
    <n v="9016.0499999999993"/>
    <n v="1.5272725877495894"/>
    <n v="1.1325273206883557"/>
    <n v="41.740972222222219"/>
    <n v="1.3978427360096719"/>
    <s v="🟡 Mid"/>
  </r>
  <r>
    <n v="376"/>
    <s v="Go_YouTube_PreRoll_2024"/>
    <x v="1"/>
    <s v="Retargeting"/>
    <s v="South"/>
    <s v="Tablet"/>
    <s v="25-34"/>
    <x v="8"/>
    <x v="0"/>
    <n v="2024"/>
    <n v="9827.24"/>
    <n v="572036"/>
    <n v="12492"/>
    <n v="782"/>
    <n v="7329.76"/>
    <n v="2.1837786433021695"/>
    <n v="0.58675632404739031"/>
    <n v="9.3730946291560109"/>
    <n v="1.340731483704787"/>
    <s v="🟡 Mid"/>
  </r>
  <r>
    <n v="377"/>
    <s v="Di_Native_2024"/>
    <x v="0"/>
    <s v="Retargeting"/>
    <s v="North"/>
    <s v="Tablet"/>
    <s v="55+"/>
    <x v="4"/>
    <x v="1"/>
    <n v="2024"/>
    <n v="13939.61"/>
    <n v="17394"/>
    <n v="82"/>
    <n v="5"/>
    <n v="10480.82"/>
    <n v="0.47142692882603193"/>
    <n v="127.81487804878049"/>
    <n v="2096.1639999999998"/>
    <n v="1.3300113922383936"/>
    <s v="🔴 Low"/>
  </r>
  <r>
    <n v="378"/>
    <s v="Fa_Carousel_2024"/>
    <x v="2"/>
    <s v="Traffic"/>
    <s v="East"/>
    <s v="Desktop"/>
    <s v="35-44"/>
    <x v="4"/>
    <x v="1"/>
    <n v="2024"/>
    <n v="7635.52"/>
    <n v="527998"/>
    <n v="6156"/>
    <n v="139"/>
    <n v="5925.31"/>
    <n v="1.1659135072481335"/>
    <n v="0.96252599090318391"/>
    <n v="42.628129496402877"/>
    <n v="1.2886279367661777"/>
    <s v="🔴 Low"/>
  </r>
  <r>
    <n v="379"/>
    <s v="Fa_Lead_Form_2023"/>
    <x v="2"/>
    <s v="Retargeting"/>
    <s v="East"/>
    <s v="Mobile"/>
    <s v="25-34"/>
    <x v="9"/>
    <x v="3"/>
    <n v="2023"/>
    <n v="19595.810000000001"/>
    <n v="724335"/>
    <n v="11812"/>
    <n v="963"/>
    <n v="13698.22"/>
    <n v="1.6307371589112774"/>
    <n v="1.1596867592279039"/>
    <n v="14.224527518172378"/>
    <n v="1.4305369602765909"/>
    <s v="🟡 Mid"/>
  </r>
  <r>
    <n v="380"/>
    <s v="Fa_Messenger_2023"/>
    <x v="2"/>
    <s v="Lead Generation"/>
    <s v="South"/>
    <s v="Tablet"/>
    <s v="25-34"/>
    <x v="4"/>
    <x v="1"/>
    <n v="2023"/>
    <n v="3943.84"/>
    <n v="528866"/>
    <n v="9663"/>
    <n v="464"/>
    <n v="3845.93"/>
    <n v="1.8271168878317003"/>
    <n v="0.39800579530166613"/>
    <n v="8.2886422413793106"/>
    <n v="1.0254580816603527"/>
    <s v="🟡 Mid"/>
  </r>
  <r>
    <n v="381"/>
    <s v="Di_Retargeting_Display_2023"/>
    <x v="0"/>
    <s v="Retargeting"/>
    <s v="East"/>
    <s v="Mobile"/>
    <s v="55+"/>
    <x v="9"/>
    <x v="3"/>
    <n v="2023"/>
    <n v="8268.84"/>
    <n v="729087"/>
    <n v="6419"/>
    <n v="515"/>
    <n v="7874.98"/>
    <n v="0.88041619175763675"/>
    <n v="1.226823492755881"/>
    <n v="15.291223300970874"/>
    <n v="1.0500140952738928"/>
    <s v="🔴 Low"/>
  </r>
  <r>
    <n v="382"/>
    <s v="Go_Discovery_2024"/>
    <x v="1"/>
    <s v="Conversions"/>
    <s v="East"/>
    <s v="Mobile"/>
    <s v="35-44"/>
    <x v="10"/>
    <x v="1"/>
    <n v="2024"/>
    <n v="7210.74"/>
    <n v="436762"/>
    <n v="13530"/>
    <n v="791"/>
    <n v="6953.28"/>
    <n v="3.0977969695165788"/>
    <n v="0.5139157427937916"/>
    <n v="8.7904930467762323"/>
    <n v="1.0370271296424134"/>
    <s v="🟢 High"/>
  </r>
  <r>
    <n v="383"/>
    <s v="Di_Interstitial_2024"/>
    <x v="0"/>
    <s v="Traffic"/>
    <s v="Central"/>
    <s v="Tablet"/>
    <s v="55+"/>
    <x v="0"/>
    <x v="0"/>
    <n v="2024"/>
    <n v="7424.63"/>
    <n v="710893"/>
    <n v="355"/>
    <n v="8"/>
    <n v="4699.28"/>
    <n v="4.9937191673008453E-2"/>
    <n v="13.237408450704224"/>
    <n v="587.41"/>
    <n v="1.5799505456154987"/>
    <s v="🔴 Low"/>
  </r>
  <r>
    <n v="384"/>
    <s v="Di_Programmatic_2024"/>
    <x v="0"/>
    <s v="Retargeting"/>
    <s v="South"/>
    <s v="Desktop"/>
    <s v="35-44"/>
    <x v="1"/>
    <x v="1"/>
    <n v="2024"/>
    <n v="17053.57"/>
    <n v="79809"/>
    <n v="513"/>
    <n v="34"/>
    <n v="12693.36"/>
    <n v="0.6427846483479307"/>
    <n v="24.743391812865497"/>
    <n v="373.33411764705886"/>
    <n v="1.3435032174302155"/>
    <s v="🔴 Low"/>
  </r>
  <r>
    <n v="385"/>
    <s v="Fa_Lead_Form_2024"/>
    <x v="2"/>
    <s v="Conversions"/>
    <s v="East"/>
    <s v="Tablet"/>
    <s v="45-54"/>
    <x v="5"/>
    <x v="2"/>
    <n v="2024"/>
    <n v="15728.99"/>
    <n v="385805"/>
    <n v="6141"/>
    <n v="500"/>
    <n v="10542.73"/>
    <n v="1.5917367582068662"/>
    <n v="1.7167773978179448"/>
    <n v="21.085459999999998"/>
    <n v="1.4919276126771719"/>
    <s v="🟡 Mid"/>
  </r>
  <r>
    <n v="386"/>
    <s v="Go_Shopping_2023"/>
    <x v="1"/>
    <s v="Lead Generation"/>
    <s v="East"/>
    <s v="Tablet"/>
    <s v="18-24"/>
    <x v="11"/>
    <x v="2"/>
    <n v="2023"/>
    <n v="8242.39"/>
    <n v="105195"/>
    <n v="2307"/>
    <n v="101"/>
    <n v="7987.29"/>
    <n v="2.1930700128333096"/>
    <n v="3.4621976592977894"/>
    <n v="79.082079207920785"/>
    <n v="1.0319382418817897"/>
    <s v="🟡 Mid"/>
  </r>
  <r>
    <n v="387"/>
    <s v="Di_Banner_Standard_2024"/>
    <x v="0"/>
    <s v="Brand Awareness"/>
    <s v="West"/>
    <s v="Tablet"/>
    <s v="18-24"/>
    <x v="7"/>
    <x v="0"/>
    <n v="2024"/>
    <n v="12552.99"/>
    <n v="93406"/>
    <n v="106"/>
    <n v="1"/>
    <n v="8836.1299999999992"/>
    <n v="0.11348307389246944"/>
    <n v="83.359716981132067"/>
    <n v="8836.1299999999992"/>
    <n v="1.4206434264774286"/>
    <s v="🔴 Low"/>
  </r>
  <r>
    <n v="388"/>
    <s v="Fa_Instant_Experience_2023"/>
    <x v="2"/>
    <s v="Lead Generation"/>
    <s v="South"/>
    <s v="Tablet"/>
    <s v="25-34"/>
    <x v="8"/>
    <x v="0"/>
    <n v="2023"/>
    <n v="13439.21"/>
    <n v="345998"/>
    <n v="2559"/>
    <n v="235"/>
    <n v="10700.58"/>
    <n v="0.73959965086503388"/>
    <n v="4.1815474794841734"/>
    <n v="45.534382978723407"/>
    <n v="1.2559328559760312"/>
    <s v="🔴 Low"/>
  </r>
  <r>
    <n v="389"/>
    <s v="Di_Programmatic_2024"/>
    <x v="0"/>
    <s v="Traffic"/>
    <s v="West"/>
    <s v="Desktop"/>
    <s v="55+"/>
    <x v="0"/>
    <x v="0"/>
    <n v="2024"/>
    <n v="12805.43"/>
    <n v="671738"/>
    <n v="7276"/>
    <n v="212"/>
    <n v="10554.1"/>
    <n v="1.0831603988459786"/>
    <n v="1.4505360087960417"/>
    <n v="49.783490566037734"/>
    <n v="1.2133133095195232"/>
    <s v="🔴 Low"/>
  </r>
  <r>
    <n v="390"/>
    <s v="Fa_Instant_Experience_2024"/>
    <x v="2"/>
    <s v="Traffic"/>
    <s v="South"/>
    <s v="Desktop"/>
    <s v="45-54"/>
    <x v="5"/>
    <x v="2"/>
    <n v="2024"/>
    <n v="8537.9699999999993"/>
    <n v="168281"/>
    <n v="2065"/>
    <n v="39"/>
    <n v="5123.1099999999997"/>
    <n v="1.2271141721287608"/>
    <n v="2.4809249394673123"/>
    <n v="131.36179487179487"/>
    <n v="1.6665599606489028"/>
    <s v="🔴 Low"/>
  </r>
  <r>
    <n v="391"/>
    <s v="Go_Search_Competitor_2024"/>
    <x v="1"/>
    <s v="Conversions"/>
    <s v="West"/>
    <s v="Tablet"/>
    <s v="18-24"/>
    <x v="6"/>
    <x v="3"/>
    <n v="2024"/>
    <n v="18965.669999999998"/>
    <n v="505241"/>
    <n v="12826"/>
    <n v="1357"/>
    <n v="16134.88"/>
    <n v="2.5385904944373081"/>
    <n v="1.2579822236082956"/>
    <n v="11.890110537951363"/>
    <n v="1.1754453705264618"/>
    <s v="🟡 Mid"/>
  </r>
  <r>
    <n v="392"/>
    <s v="Go_Search_Competitor_2023"/>
    <x v="1"/>
    <s v="Lead Generation"/>
    <s v="West"/>
    <s v="Tablet"/>
    <s v="45-54"/>
    <x v="1"/>
    <x v="1"/>
    <n v="2023"/>
    <n v="3683.76"/>
    <n v="777924"/>
    <n v="28090"/>
    <n v="2212"/>
    <n v="3491.98"/>
    <n v="3.6108925807662442"/>
    <n v="0.12431399074403703"/>
    <n v="1.5786528028933093"/>
    <n v="1.0549201312722296"/>
    <s v="🟢 High"/>
  </r>
  <r>
    <n v="393"/>
    <s v="Go_YouTube_PreRoll_2024"/>
    <x v="1"/>
    <s v="Brand Awareness"/>
    <s v="West"/>
    <s v="Tablet"/>
    <s v="25-34"/>
    <x v="10"/>
    <x v="1"/>
    <n v="2024"/>
    <n v="6051.2"/>
    <n v="784015"/>
    <n v="18912"/>
    <n v="147"/>
    <n v="3804.72"/>
    <n v="2.4121987461974581"/>
    <n v="0.20118020304568526"/>
    <n v="25.882448979591835"/>
    <n v="1.5904455518408713"/>
    <s v="🟡 Mid"/>
  </r>
  <r>
    <n v="394"/>
    <s v="Go_YouTube_PreRoll_2024"/>
    <x v="1"/>
    <s v="Brand Awareness"/>
    <s v="West"/>
    <s v="Tablet"/>
    <s v="45-54"/>
    <x v="5"/>
    <x v="2"/>
    <n v="2024"/>
    <n v="4161.8900000000003"/>
    <n v="25337"/>
    <n v="689"/>
    <n v="5"/>
    <n v="4192.1899999999996"/>
    <n v="2.7193432529502308"/>
    <n v="6.0844557329462985"/>
    <n v="838.43799999999987"/>
    <n v="0.99277227415742142"/>
    <s v="🟡 Mid"/>
  </r>
  <r>
    <n v="395"/>
    <s v="Go_Shopping_2024"/>
    <x v="1"/>
    <s v="Brand Awareness"/>
    <s v="East"/>
    <s v="Mobile"/>
    <s v="25-34"/>
    <x v="6"/>
    <x v="3"/>
    <n v="2024"/>
    <n v="14678.59"/>
    <n v="249119"/>
    <n v="7156"/>
    <n v="59"/>
    <n v="11397.96"/>
    <n v="2.8725227702423339"/>
    <n v="1.5927836780324203"/>
    <n v="193.18576271186438"/>
    <n v="1.2878260671207831"/>
    <s v="🟡 Mid"/>
  </r>
  <r>
    <n v="396"/>
    <s v="Fa_Lead_Form_2023"/>
    <x v="2"/>
    <s v="Retargeting"/>
    <s v="North"/>
    <s v="Mobile"/>
    <s v="18-24"/>
    <x v="0"/>
    <x v="0"/>
    <n v="2023"/>
    <n v="5696.82"/>
    <n v="416484"/>
    <n v="6856"/>
    <n v="450"/>
    <n v="4543"/>
    <n v="1.6461616772793193"/>
    <n v="0.66263127187864646"/>
    <n v="10.095555555555556"/>
    <n v="1.2539775478758528"/>
    <s v="🟡 Mid"/>
  </r>
  <r>
    <n v="397"/>
    <s v="Go_YouTube_PreRoll_2024"/>
    <x v="1"/>
    <s v="Retargeting"/>
    <s v="North"/>
    <s v="Desktop"/>
    <s v="25-34"/>
    <x v="1"/>
    <x v="1"/>
    <n v="2024"/>
    <n v="5319.66"/>
    <n v="40138"/>
    <n v="1226"/>
    <n v="82"/>
    <n v="4679.83"/>
    <n v="3.0544621057352135"/>
    <n v="3.8171533442088093"/>
    <n v="57.071097560975609"/>
    <n v="1.1367207783188706"/>
    <s v="🟢 High"/>
  </r>
  <r>
    <n v="398"/>
    <s v="Go_Discovery_2023"/>
    <x v="1"/>
    <s v="Retargeting"/>
    <s v="East"/>
    <s v="Mobile"/>
    <s v="25-34"/>
    <x v="3"/>
    <x v="3"/>
    <n v="2023"/>
    <n v="15022.13"/>
    <n v="581276"/>
    <n v="20775"/>
    <n v="2112"/>
    <n v="10611.5"/>
    <n v="3.5740336776333446"/>
    <n v="0.51078219013237058"/>
    <n v="5.0243844696969697"/>
    <n v="1.4156462328605757"/>
    <s v="🟢 High"/>
  </r>
  <r>
    <n v="399"/>
    <s v="Di_Programmatic_2023"/>
    <x v="0"/>
    <s v="Lead Generation"/>
    <s v="East"/>
    <s v="Desktop"/>
    <s v="25-34"/>
    <x v="7"/>
    <x v="0"/>
    <n v="2023"/>
    <n v="12841.72"/>
    <n v="345277"/>
    <n v="5473"/>
    <n v="410"/>
    <n v="9839.83"/>
    <n v="1.5851041337824414"/>
    <n v="1.7978859857482186"/>
    <n v="23.999585365853658"/>
    <n v="1.3050753925626764"/>
    <s v="🟡 Mid"/>
  </r>
  <r>
    <n v="400"/>
    <s v="Go_Search_Brand_2023"/>
    <x v="1"/>
    <s v="Brand Awareness"/>
    <s v="Central"/>
    <s v="Tablet"/>
    <s v="45-54"/>
    <x v="6"/>
    <x v="3"/>
    <n v="2023"/>
    <n v="7742.27"/>
    <n v="98826"/>
    <n v="2850"/>
    <n v="24"/>
    <n v="6270.98"/>
    <n v="2.883856475016696"/>
    <n v="2.2003438596491227"/>
    <n v="261.2908333333333"/>
    <n v="1.2346188315063995"/>
    <s v="🟡 Mid"/>
  </r>
  <r>
    <n v="401"/>
    <s v="Di_Retargeting_Display_2023"/>
    <x v="0"/>
    <s v="Brand Awareness"/>
    <s v="North"/>
    <s v="Mobile"/>
    <s v="25-34"/>
    <x v="6"/>
    <x v="3"/>
    <n v="2023"/>
    <n v="2953.64"/>
    <n v="248977"/>
    <n v="1094"/>
    <n v="16"/>
    <n v="2203.04"/>
    <n v="0.43939801668427209"/>
    <n v="2.0137477148080438"/>
    <n v="137.69"/>
    <n v="1.3407110175030865"/>
    <s v="🔴 Low"/>
  </r>
  <r>
    <n v="402"/>
    <s v="Fa_Reels_2023"/>
    <x v="2"/>
    <s v="Brand Awareness"/>
    <s v="West"/>
    <s v="Mobile"/>
    <s v="25-34"/>
    <x v="5"/>
    <x v="2"/>
    <n v="2023"/>
    <n v="9963.39"/>
    <n v="463752"/>
    <n v="10127"/>
    <n v="135"/>
    <n v="8249.17"/>
    <n v="2.1837102589314981"/>
    <n v="0.81457193640762315"/>
    <n v="61.104962962962965"/>
    <n v="1.207805148881645"/>
    <s v="🟡 Mid"/>
  </r>
  <r>
    <n v="403"/>
    <s v="Fa_Reels_2024"/>
    <x v="2"/>
    <s v="Traffic"/>
    <s v="South"/>
    <s v="Tablet"/>
    <s v="35-44"/>
    <x v="2"/>
    <x v="2"/>
    <n v="2024"/>
    <n v="5868.83"/>
    <n v="632761"/>
    <n v="13580"/>
    <n v="163"/>
    <n v="3903.42"/>
    <n v="2.146149968155433"/>
    <n v="0.28743888070692197"/>
    <n v="23.947361963190186"/>
    <n v="1.503509742738419"/>
    <s v="🟡 Mid"/>
  </r>
  <r>
    <n v="404"/>
    <s v="Fa_Stories_2024"/>
    <x v="2"/>
    <s v="Traffic"/>
    <s v="East"/>
    <s v="Mobile"/>
    <s v="18-24"/>
    <x v="3"/>
    <x v="3"/>
    <n v="2024"/>
    <n v="14806.33"/>
    <n v="24629"/>
    <n v="313"/>
    <n v="8"/>
    <n v="11147.86"/>
    <n v="1.2708595558081937"/>
    <n v="35.616166134185306"/>
    <n v="1393.4825000000001"/>
    <n v="1.3281768877614177"/>
    <s v="🔴 Low"/>
  </r>
  <r>
    <n v="405"/>
    <s v="Di_Interstitial_2023"/>
    <x v="0"/>
    <s v="Conversions"/>
    <s v="North"/>
    <s v="Tablet"/>
    <s v="55+"/>
    <x v="1"/>
    <x v="1"/>
    <n v="2023"/>
    <n v="10719.36"/>
    <n v="526718"/>
    <n v="3837"/>
    <n v="267"/>
    <n v="8276.61"/>
    <n v="0.72847330070360228"/>
    <n v="2.1570523846755281"/>
    <n v="30.9985393258427"/>
    <n v="1.2951389518172296"/>
    <s v="🔴 Low"/>
  </r>
  <r>
    <n v="406"/>
    <s v="Fa_Feed_Video_2023"/>
    <x v="2"/>
    <s v="Brand Awareness"/>
    <s v="Central"/>
    <s v="Tablet"/>
    <s v="18-24"/>
    <x v="8"/>
    <x v="0"/>
    <n v="2023"/>
    <n v="3983.46"/>
    <n v="37792"/>
    <n v="495"/>
    <n v="3"/>
    <n v="3202.13"/>
    <n v="1.3098010160880609"/>
    <n v="6.468949494949495"/>
    <n v="1067.3766666666668"/>
    <n v="1.244003210363102"/>
    <s v="🔴 Low"/>
  </r>
  <r>
    <n v="407"/>
    <s v="Go_Search_Brand_2024"/>
    <x v="1"/>
    <s v="Traffic"/>
    <s v="West"/>
    <s v="Tablet"/>
    <s v="45-54"/>
    <x v="10"/>
    <x v="1"/>
    <n v="2024"/>
    <n v="1457.17"/>
    <n v="236444"/>
    <n v="6263"/>
    <n v="237"/>
    <n v="1002.05"/>
    <n v="2.648830166973998"/>
    <n v="0.15999520996327637"/>
    <n v="4.228059071729958"/>
    <n v="1.4541889127289058"/>
    <s v="🟡 Mid"/>
  </r>
  <r>
    <n v="408"/>
    <s v="Fa_Feed_Video_2024"/>
    <x v="2"/>
    <s v="Retargeting"/>
    <s v="North"/>
    <s v="Mobile"/>
    <s v="55+"/>
    <x v="6"/>
    <x v="3"/>
    <n v="2024"/>
    <n v="16529.52"/>
    <n v="747846"/>
    <n v="11080"/>
    <n v="716"/>
    <n v="14200.71"/>
    <n v="1.4815884553771765"/>
    <n v="1.2816525270758121"/>
    <n v="19.833393854748604"/>
    <n v="1.1639925046001223"/>
    <s v="🔴 Low"/>
  </r>
  <r>
    <n v="409"/>
    <s v="Di_Banner_Standard_2023"/>
    <x v="0"/>
    <s v="Brand Awareness"/>
    <s v="East"/>
    <s v="Desktop"/>
    <s v="25-34"/>
    <x v="10"/>
    <x v="1"/>
    <n v="2023"/>
    <n v="2473.89"/>
    <n v="247239"/>
    <n v="945"/>
    <n v="12"/>
    <n v="1742.81"/>
    <n v="0.38222125150158348"/>
    <n v="1.8442433862433862"/>
    <n v="145.23416666666665"/>
    <n v="1.4194834778317773"/>
    <s v="🔴 Low"/>
  </r>
  <r>
    <n v="410"/>
    <s v="Di_Native_2024"/>
    <x v="0"/>
    <s v="Traffic"/>
    <s v="Central"/>
    <s v="Mobile"/>
    <s v="18-24"/>
    <x v="3"/>
    <x v="3"/>
    <n v="2024"/>
    <n v="13652.6"/>
    <n v="741677"/>
    <n v="4716"/>
    <n v="141"/>
    <n v="13253.75"/>
    <n v="0.63585630941771154"/>
    <n v="2.8103795589482612"/>
    <n v="93.998226950354606"/>
    <n v="1.0300933698009997"/>
    <s v="🔴 Low"/>
  </r>
  <r>
    <n v="411"/>
    <s v="Go_Shopping_2023"/>
    <x v="1"/>
    <s v="Traffic"/>
    <s v="West"/>
    <s v="Tablet"/>
    <s v="35-44"/>
    <x v="3"/>
    <x v="3"/>
    <n v="2023"/>
    <n v="10911.06"/>
    <n v="634057"/>
    <n v="14986"/>
    <n v="291"/>
    <n v="11090.16"/>
    <n v="2.3635099052608832"/>
    <n v="0.7400346990524489"/>
    <n v="38.110515463917523"/>
    <n v="0.98385054859442966"/>
    <s v="🟡 Mid"/>
  </r>
  <r>
    <n v="412"/>
    <s v="Fa_Lead_Form_2023"/>
    <x v="2"/>
    <s v="Retargeting"/>
    <s v="West"/>
    <s v="Tablet"/>
    <s v="35-44"/>
    <x v="9"/>
    <x v="3"/>
    <n v="2023"/>
    <n v="11481.32"/>
    <n v="229319"/>
    <n v="4043"/>
    <n v="363"/>
    <n v="9542.1299999999992"/>
    <n v="1.7630462369014344"/>
    <n v="2.3601607717041797"/>
    <n v="26.286859504132231"/>
    <n v="1.2032240181175482"/>
    <s v="🟡 Mid"/>
  </r>
  <r>
    <n v="413"/>
    <s v="Di_Programmatic_2023"/>
    <x v="0"/>
    <s v="Conversions"/>
    <s v="West"/>
    <s v="Mobile"/>
    <s v="45-54"/>
    <x v="8"/>
    <x v="0"/>
    <n v="2023"/>
    <n v="19667.650000000001"/>
    <n v="629702"/>
    <n v="6095"/>
    <n v="684"/>
    <n v="11854.85"/>
    <n v="0.96791815811288517"/>
    <n v="1.9450123051681707"/>
    <n v="17.331652046783628"/>
    <n v="1.6590382839091173"/>
    <s v="🔴 Low"/>
  </r>
  <r>
    <n v="414"/>
    <s v="Go_PMax_2023"/>
    <x v="1"/>
    <s v="Conversions"/>
    <s v="North"/>
    <s v="Tablet"/>
    <s v="35-44"/>
    <x v="10"/>
    <x v="1"/>
    <n v="2023"/>
    <n v="2338.6"/>
    <n v="487732"/>
    <n v="13790"/>
    <n v="1032"/>
    <n v="1539.11"/>
    <n v="2.8273724094379702"/>
    <n v="0.11161058738216098"/>
    <n v="1.4913856589147285"/>
    <n v="1.5194495520138263"/>
    <s v="🟡 Mid"/>
  </r>
  <r>
    <n v="415"/>
    <s v="Fa_Reels_2024"/>
    <x v="2"/>
    <s v="Lead Generation"/>
    <s v="East"/>
    <s v="Mobile"/>
    <s v="18-24"/>
    <x v="9"/>
    <x v="3"/>
    <n v="2024"/>
    <n v="11596.77"/>
    <n v="232999"/>
    <n v="3543"/>
    <n v="310"/>
    <n v="7800.21"/>
    <n v="1.5206073845810497"/>
    <n v="2.2015834038950044"/>
    <n v="25.161967741935484"/>
    <n v="1.4867253573942241"/>
    <s v="🟡 Mid"/>
  </r>
  <r>
    <n v="416"/>
    <s v="Di_Rich_Media_2023"/>
    <x v="0"/>
    <s v="Traffic"/>
    <s v="East"/>
    <s v="Desktop"/>
    <s v="55+"/>
    <x v="1"/>
    <x v="1"/>
    <n v="2023"/>
    <n v="15712.38"/>
    <n v="355632"/>
    <n v="177"/>
    <n v="3"/>
    <n v="14819.91"/>
    <n v="4.9770549331893649E-2"/>
    <n v="83.728305084745756"/>
    <n v="4939.97"/>
    <n v="1.0602210134879362"/>
    <s v="🔴 Low"/>
  </r>
  <r>
    <n v="417"/>
    <s v="Fa_Feed_Video_2024"/>
    <x v="2"/>
    <s v="Lead Generation"/>
    <s v="Central"/>
    <s v="Desktop"/>
    <s v="45-54"/>
    <x v="8"/>
    <x v="0"/>
    <n v="2024"/>
    <n v="10725.48"/>
    <n v="339827"/>
    <n v="4500"/>
    <n v="315"/>
    <n v="7429.91"/>
    <n v="1.3242031975093209"/>
    <n v="1.6510911111111111"/>
    <n v="23.587015873015872"/>
    <n v="1.4435544979683468"/>
    <s v="🔴 Low"/>
  </r>
  <r>
    <n v="418"/>
    <s v="Go_Smart_Campaign_2023"/>
    <x v="1"/>
    <s v="Retargeting"/>
    <s v="Central"/>
    <s v="Tablet"/>
    <s v="55+"/>
    <x v="7"/>
    <x v="0"/>
    <n v="2023"/>
    <n v="8922.75"/>
    <n v="418477"/>
    <n v="11421"/>
    <n v="820"/>
    <n v="6613.46"/>
    <n v="2.7291822489646984"/>
    <n v="0.57906137816303305"/>
    <n v="8.0651951219512199"/>
    <n v="1.349180308038455"/>
    <s v="🟡 Mid"/>
  </r>
  <r>
    <n v="419"/>
    <s v="Fa_Feed_Image_2024"/>
    <x v="2"/>
    <s v="Traffic"/>
    <s v="West"/>
    <s v="Mobile"/>
    <s v="18-24"/>
    <x v="1"/>
    <x v="1"/>
    <n v="2024"/>
    <n v="15589.59"/>
    <n v="141708"/>
    <n v="2328"/>
    <n v="37"/>
    <n v="11942.15"/>
    <n v="1.6428148022694555"/>
    <n v="5.1297895189003437"/>
    <n v="322.76081081081082"/>
    <n v="1.3054257399212035"/>
    <s v="🟡 Mid"/>
  </r>
  <r>
    <n v="420"/>
    <s v="Di_Interstitial_2023"/>
    <x v="0"/>
    <s v="Traffic"/>
    <s v="Central"/>
    <s v="Tablet"/>
    <s v="55+"/>
    <x v="11"/>
    <x v="2"/>
    <n v="2023"/>
    <n v="1897.06"/>
    <n v="455956"/>
    <n v="588"/>
    <n v="11"/>
    <n v="1874.56"/>
    <n v="0.12895981191167569"/>
    <n v="3.1880272108843535"/>
    <n v="170.41454545454545"/>
    <n v="1.0120028166609765"/>
    <s v="🔴 Low"/>
  </r>
  <r>
    <n v="421"/>
    <s v="Go_Search_Generic_2024"/>
    <x v="1"/>
    <s v="Retargeting"/>
    <s v="West"/>
    <s v="Mobile"/>
    <s v="35-44"/>
    <x v="11"/>
    <x v="2"/>
    <n v="2024"/>
    <n v="7218.24"/>
    <n v="692247"/>
    <n v="22300"/>
    <n v="3099"/>
    <n v="6199.12"/>
    <n v="3.2213935199430264"/>
    <n v="0.27798744394618835"/>
    <n v="2.0003614069054532"/>
    <n v="1.1643975273909846"/>
    <s v="🟢 High"/>
  </r>
  <r>
    <n v="422"/>
    <s v="Fa_Carousel_2024"/>
    <x v="2"/>
    <s v="Retargeting"/>
    <s v="North"/>
    <s v="Desktop"/>
    <s v="25-34"/>
    <x v="3"/>
    <x v="3"/>
    <n v="2024"/>
    <n v="3541.83"/>
    <n v="768873"/>
    <n v="12798"/>
    <n v="1640"/>
    <n v="2292.2600000000002"/>
    <n v="1.6645141655383919"/>
    <n v="0.17911079856227538"/>
    <n v="1.397719512195122"/>
    <n v="1.5451257710730892"/>
    <s v="🟡 Mid"/>
  </r>
  <r>
    <n v="423"/>
    <s v="Go_PMax_2023"/>
    <x v="1"/>
    <s v="Traffic"/>
    <s v="South"/>
    <s v="Mobile"/>
    <s v="18-24"/>
    <x v="2"/>
    <x v="2"/>
    <n v="2023"/>
    <n v="6449.8"/>
    <n v="499078"/>
    <n v="15665"/>
    <n v="409"/>
    <n v="4421.96"/>
    <n v="3.1387879249335775"/>
    <n v="0.28228279604213213"/>
    <n v="10.811638141809292"/>
    <n v="1.4585839763362853"/>
    <s v="🟢 High"/>
  </r>
  <r>
    <n v="424"/>
    <s v="Di_Programmatic_2023"/>
    <x v="0"/>
    <s v="Traffic"/>
    <s v="West"/>
    <s v="Tablet"/>
    <s v="25-34"/>
    <x v="6"/>
    <x v="3"/>
    <n v="2023"/>
    <n v="7843.83"/>
    <n v="700759"/>
    <n v="5247"/>
    <n v="135"/>
    <n v="5547.88"/>
    <n v="0.74875955927786864"/>
    <n v="1.0573432437583381"/>
    <n v="41.095407407407407"/>
    <n v="1.413842765164351"/>
    <s v="🔴 Low"/>
  </r>
  <r>
    <n v="425"/>
    <s v="Go_YouTube_PreRoll_2023"/>
    <x v="1"/>
    <s v="Lead Generation"/>
    <s v="Central"/>
    <s v="Mobile"/>
    <s v="18-24"/>
    <x v="4"/>
    <x v="1"/>
    <n v="2023"/>
    <n v="1798.66"/>
    <n v="697451"/>
    <n v="18618"/>
    <n v="1482"/>
    <n v="1732.11"/>
    <n v="2.6694348420175755"/>
    <n v="9.3034160489848527E-2"/>
    <n v="1.1687651821862348"/>
    <n v="1.0384213473740123"/>
    <s v="🟡 Mid"/>
  </r>
  <r>
    <n v="426"/>
    <s v="Go_YouTube_PreRoll_2023"/>
    <x v="1"/>
    <s v="Retargeting"/>
    <s v="South"/>
    <s v="Mobile"/>
    <s v="55+"/>
    <x v="6"/>
    <x v="3"/>
    <n v="2023"/>
    <n v="18125.509999999998"/>
    <n v="513205"/>
    <n v="19341"/>
    <n v="2501"/>
    <n v="14921.93"/>
    <n v="3.7686694400872947"/>
    <n v="0.77151801871671577"/>
    <n v="5.9663854458216719"/>
    <n v="1.2146893866946165"/>
    <s v="🟢 High"/>
  </r>
  <r>
    <n v="427"/>
    <s v="Go_PMax_2023"/>
    <x v="1"/>
    <s v="Traffic"/>
    <s v="West"/>
    <s v="Tablet"/>
    <s v="18-24"/>
    <x v="8"/>
    <x v="0"/>
    <n v="2023"/>
    <n v="18484.27"/>
    <n v="324739"/>
    <n v="8278"/>
    <n v="121"/>
    <n v="13782.75"/>
    <n v="2.5491240657882179"/>
    <n v="1.664985503744866"/>
    <n v="113.90702479338843"/>
    <n v="1.3411162503854457"/>
    <s v="🟡 Mid"/>
  </r>
  <r>
    <n v="428"/>
    <s v="Fa_Lead_Form_2024"/>
    <x v="2"/>
    <s v="Conversions"/>
    <s v="South"/>
    <s v="Tablet"/>
    <s v="35-44"/>
    <x v="8"/>
    <x v="0"/>
    <n v="2024"/>
    <n v="17634.21"/>
    <n v="35897"/>
    <n v="729"/>
    <n v="84"/>
    <n v="17610.03"/>
    <n v="2.0308103741259713"/>
    <n v="24.156419753086418"/>
    <n v="209.64321428571427"/>
    <n v="1.0013730811361481"/>
    <s v="🟡 Mid"/>
  </r>
  <r>
    <n v="429"/>
    <s v="Go_Shopping_2024"/>
    <x v="1"/>
    <s v="Conversions"/>
    <s v="West"/>
    <s v="Tablet"/>
    <s v="25-34"/>
    <x v="7"/>
    <x v="0"/>
    <n v="2024"/>
    <n v="10654"/>
    <n v="715929"/>
    <n v="16229"/>
    <n v="1069"/>
    <n v="7467.94"/>
    <n v="2.2668448966308112"/>
    <n v="0.46016020703678595"/>
    <n v="6.9859120673526656"/>
    <n v="1.4266317083425952"/>
    <s v="🟡 Mid"/>
  </r>
  <r>
    <n v="430"/>
    <s v="Go_Smart_Campaign_2023"/>
    <x v="1"/>
    <s v="Conversions"/>
    <s v="Central"/>
    <s v="Mobile"/>
    <s v="45-54"/>
    <x v="10"/>
    <x v="1"/>
    <n v="2023"/>
    <n v="4531.7700000000004"/>
    <n v="150308"/>
    <n v="3524"/>
    <n v="319"/>
    <n v="4021.04"/>
    <n v="2.3445192537988664"/>
    <n v="1.141044267877412"/>
    <n v="12.60514106583072"/>
    <n v="1.1270144042337307"/>
    <s v="🟡 Mid"/>
  </r>
  <r>
    <n v="431"/>
    <s v="Go_Shopping_2023"/>
    <x v="1"/>
    <s v="Conversions"/>
    <s v="Central"/>
    <s v="Desktop"/>
    <s v="45-54"/>
    <x v="0"/>
    <x v="0"/>
    <n v="2023"/>
    <n v="6691.18"/>
    <n v="589413"/>
    <n v="11905"/>
    <n v="748"/>
    <n v="6374.01"/>
    <n v="2.0198061461148633"/>
    <n v="0.53540613187736252"/>
    <n v="8.5214037433155081"/>
    <n v="1.0497598842800686"/>
    <s v="🟡 Mid"/>
  </r>
  <r>
    <n v="432"/>
    <s v="Go_Search_Brand_2024"/>
    <x v="1"/>
    <s v="Conversions"/>
    <s v="West"/>
    <s v="Mobile"/>
    <s v="35-44"/>
    <x v="4"/>
    <x v="1"/>
    <n v="2024"/>
    <n v="3463.16"/>
    <n v="202062"/>
    <n v="5326"/>
    <n v="306"/>
    <n v="2346.61"/>
    <n v="2.6358246478803538"/>
    <n v="0.44059519339091252"/>
    <n v="7.6686601307189548"/>
    <n v="1.4758140466460126"/>
    <s v="🟡 Mid"/>
  </r>
  <r>
    <n v="433"/>
    <s v="Di_Programmatic_2023"/>
    <x v="0"/>
    <s v="Traffic"/>
    <s v="Central"/>
    <s v="Tablet"/>
    <s v="25-34"/>
    <x v="9"/>
    <x v="3"/>
    <n v="2023"/>
    <n v="5002.79"/>
    <n v="32351"/>
    <n v="69"/>
    <n v="1"/>
    <n v="4057.14"/>
    <n v="0.21328552440419152"/>
    <n v="58.799130434782604"/>
    <n v="4057.14"/>
    <n v="1.233082910621768"/>
    <s v="🔴 Low"/>
  </r>
  <r>
    <n v="434"/>
    <s v="Di_Responsive_2023"/>
    <x v="0"/>
    <s v="Conversions"/>
    <s v="South"/>
    <s v="Mobile"/>
    <s v="45-54"/>
    <x v="4"/>
    <x v="1"/>
    <n v="2023"/>
    <n v="3693.83"/>
    <n v="242264"/>
    <n v="3126"/>
    <n v="163"/>
    <n v="3402.41"/>
    <n v="1.2903279067463593"/>
    <n v="1.0884229046705054"/>
    <n v="20.87368098159509"/>
    <n v="1.0856510532240382"/>
    <s v="🔴 Low"/>
  </r>
  <r>
    <n v="435"/>
    <s v="Go_YouTube_PreRoll_2023"/>
    <x v="1"/>
    <s v="Retargeting"/>
    <s v="South"/>
    <s v="Tablet"/>
    <s v="25-34"/>
    <x v="11"/>
    <x v="2"/>
    <n v="2023"/>
    <n v="3953.02"/>
    <n v="465623"/>
    <n v="14850"/>
    <n v="1276"/>
    <n v="3131.46"/>
    <n v="3.1892754438676785"/>
    <n v="0.21087272727272727"/>
    <n v="2.4541222570532915"/>
    <n v="1.262356855907468"/>
    <s v="🟢 High"/>
  </r>
  <r>
    <n v="436"/>
    <s v="Go_Smart_Campaign_2024"/>
    <x v="1"/>
    <s v="Retargeting"/>
    <s v="North"/>
    <s v="Tablet"/>
    <s v="45-54"/>
    <x v="6"/>
    <x v="3"/>
    <n v="2024"/>
    <n v="8185.94"/>
    <n v="783533"/>
    <n v="18569"/>
    <n v="1963"/>
    <n v="6754.93"/>
    <n v="2.3699065642417105"/>
    <n v="0.3637745705207604"/>
    <n v="3.4411258278145698"/>
    <n v="1.2118467548886516"/>
    <s v="🟡 Mid"/>
  </r>
  <r>
    <n v="437"/>
    <s v="Di_Banner_Standard_2023"/>
    <x v="0"/>
    <s v="Traffic"/>
    <s v="North"/>
    <s v="Mobile"/>
    <s v="45-54"/>
    <x v="8"/>
    <x v="0"/>
    <n v="2023"/>
    <n v="10614.7"/>
    <n v="419828"/>
    <n v="3529"/>
    <n v="76"/>
    <n v="9780.0400000000009"/>
    <n v="0.8405823337176177"/>
    <n v="2.7713346557098331"/>
    <n v="128.68473684210528"/>
    <n v="1.085343209230228"/>
    <s v="🔴 Low"/>
  </r>
  <r>
    <n v="438"/>
    <s v="Go_PMax_2024"/>
    <x v="1"/>
    <s v="Conversions"/>
    <s v="West"/>
    <s v="Mobile"/>
    <s v="35-44"/>
    <x v="5"/>
    <x v="2"/>
    <n v="2024"/>
    <n v="3746.49"/>
    <n v="313721"/>
    <n v="8739"/>
    <n v="812"/>
    <n v="2333.7199999999998"/>
    <n v="2.7855961188444507"/>
    <n v="0.2670465728344204"/>
    <n v="2.8740394088669947"/>
    <n v="1.6053725382650876"/>
    <s v="🟡 Mid"/>
  </r>
  <r>
    <n v="439"/>
    <s v="Di_Native_2023"/>
    <x v="0"/>
    <s v="Retargeting"/>
    <s v="West"/>
    <s v="Desktop"/>
    <s v="55+"/>
    <x v="7"/>
    <x v="0"/>
    <n v="2023"/>
    <n v="15685.26"/>
    <n v="734928"/>
    <n v="1627"/>
    <n v="139"/>
    <n v="9575.27"/>
    <n v="0.2213822306402804"/>
    <n v="5.8852304855562387"/>
    <n v="68.88683453237411"/>
    <n v="1.6381010666017772"/>
    <s v="🔴 Low"/>
  </r>
  <r>
    <n v="440"/>
    <s v="Fa_Reels_2023"/>
    <x v="2"/>
    <s v="Retargeting"/>
    <s v="North"/>
    <s v="Mobile"/>
    <s v="35-44"/>
    <x v="6"/>
    <x v="3"/>
    <n v="2023"/>
    <n v="14508.31"/>
    <n v="134545"/>
    <n v="1959"/>
    <n v="131"/>
    <n v="13008.37"/>
    <n v="1.4560184324947043"/>
    <n v="6.6403113833588572"/>
    <n v="99.300534351145046"/>
    <n v="1.1153057608293735"/>
    <s v="🔴 Low"/>
  </r>
  <r>
    <n v="441"/>
    <s v="Di_Retargeting_Display_2023"/>
    <x v="0"/>
    <s v="Brand Awareness"/>
    <s v="Central"/>
    <s v="Tablet"/>
    <s v="45-54"/>
    <x v="6"/>
    <x v="3"/>
    <n v="2023"/>
    <n v="7884.23"/>
    <n v="404095"/>
    <n v="4018"/>
    <n v="40"/>
    <n v="7615.76"/>
    <n v="0.99432064242319251"/>
    <n v="1.8954106520657044"/>
    <n v="190.39400000000001"/>
    <n v="1.0352518986942865"/>
    <s v="🔴 Low"/>
  </r>
  <r>
    <n v="442"/>
    <s v="Go_Shopping_2024"/>
    <x v="1"/>
    <s v="Lead Generation"/>
    <s v="South"/>
    <s v="Tablet"/>
    <s v="18-24"/>
    <x v="1"/>
    <x v="1"/>
    <n v="2024"/>
    <n v="6535.61"/>
    <n v="472935"/>
    <n v="13636"/>
    <n v="781"/>
    <n v="4417.37"/>
    <n v="2.883271485510694"/>
    <n v="0.32394910530947491"/>
    <n v="5.6560435339308581"/>
    <n v="1.4795251473161632"/>
    <s v="🟡 Mid"/>
  </r>
  <r>
    <n v="443"/>
    <s v="Go_PMax_2024"/>
    <x v="1"/>
    <s v="Brand Awareness"/>
    <s v="Central"/>
    <s v="Mobile"/>
    <s v="18-24"/>
    <x v="4"/>
    <x v="1"/>
    <n v="2024"/>
    <n v="17180.52"/>
    <n v="574902"/>
    <n v="17486"/>
    <n v="216"/>
    <n v="11873.23"/>
    <n v="3.0415618661963255"/>
    <n v="0.6790134965114949"/>
    <n v="54.968657407407406"/>
    <n v="1.4469963101868659"/>
    <s v="🟢 High"/>
  </r>
  <r>
    <n v="444"/>
    <s v="Di_Responsive_2023"/>
    <x v="0"/>
    <s v="Retargeting"/>
    <s v="West"/>
    <s v="Mobile"/>
    <s v="18-24"/>
    <x v="9"/>
    <x v="3"/>
    <n v="2023"/>
    <n v="5271.91"/>
    <n v="578929"/>
    <n v="346"/>
    <n v="28"/>
    <n v="4555.07"/>
    <n v="5.9765532560987621E-2"/>
    <n v="13.164942196531792"/>
    <n v="162.68107142857141"/>
    <n v="1.1573718954922756"/>
    <s v="🔴 Low"/>
  </r>
  <r>
    <n v="445"/>
    <s v="Go_Search_Brand_2023"/>
    <x v="1"/>
    <s v="Lead Generation"/>
    <s v="South"/>
    <s v="Desktop"/>
    <s v="35-44"/>
    <x v="8"/>
    <x v="0"/>
    <n v="2023"/>
    <n v="17149.669999999998"/>
    <n v="704396"/>
    <n v="15498"/>
    <n v="927"/>
    <n v="10921.51"/>
    <n v="2.2001828516913782"/>
    <n v="0.70470447799716096"/>
    <n v="11.781564185544768"/>
    <n v="1.5702654669546607"/>
    <s v="🟡 Mid"/>
  </r>
  <r>
    <n v="446"/>
    <s v="Go_Smart_Campaign_2023"/>
    <x v="1"/>
    <s v="Lead Generation"/>
    <s v="South"/>
    <s v="Tablet"/>
    <s v="35-44"/>
    <x v="9"/>
    <x v="3"/>
    <n v="2023"/>
    <n v="19342.72"/>
    <n v="790734"/>
    <n v="19607"/>
    <n v="1465"/>
    <n v="19172.919999999998"/>
    <n v="2.4795949080221669"/>
    <n v="0.97786096802162481"/>
    <n v="13.087317406143343"/>
    <n v="1.0088562409898962"/>
    <s v="🟡 Mid"/>
  </r>
  <r>
    <n v="447"/>
    <s v="Go_YouTube_PreRoll_2023"/>
    <x v="1"/>
    <s v="Conversions"/>
    <s v="East"/>
    <s v="Mobile"/>
    <s v="18-24"/>
    <x v="1"/>
    <x v="1"/>
    <n v="2023"/>
    <n v="6210.24"/>
    <n v="146081"/>
    <n v="5132"/>
    <n v="374"/>
    <n v="4805.3500000000004"/>
    <n v="3.5131194337388165"/>
    <n v="0.93635035074045214"/>
    <n v="12.848529411764707"/>
    <n v="1.292359557576451"/>
    <s v="🟢 High"/>
  </r>
  <r>
    <n v="448"/>
    <s v="Go_PMax_2023"/>
    <x v="1"/>
    <s v="Traffic"/>
    <s v="North"/>
    <s v="Desktop"/>
    <s v="55+"/>
    <x v="6"/>
    <x v="3"/>
    <n v="2023"/>
    <n v="9931.43"/>
    <n v="727106"/>
    <n v="25355"/>
    <n v="713"/>
    <n v="9246.5400000000009"/>
    <n v="3.4871119204077532"/>
    <n v="0.36468309998028003"/>
    <n v="12.968499298737729"/>
    <n v="1.0740698682966816"/>
    <s v="🟢 High"/>
  </r>
  <r>
    <n v="449"/>
    <s v="Di_Programmatic_2024"/>
    <x v="0"/>
    <s v="Retargeting"/>
    <s v="Central"/>
    <s v="Mobile"/>
    <s v="35-44"/>
    <x v="10"/>
    <x v="1"/>
    <n v="2024"/>
    <n v="18578.55"/>
    <n v="649129"/>
    <n v="913"/>
    <n v="100"/>
    <n v="14990.14"/>
    <n v="0.14065000947423395"/>
    <n v="16.41855421686747"/>
    <n v="149.9014"/>
    <n v="1.2393846888688165"/>
    <s v="🔴 Low"/>
  </r>
  <r>
    <n v="450"/>
    <s v="Go_PMax_2024"/>
    <x v="1"/>
    <s v="Conversions"/>
    <s v="South"/>
    <s v="Desktop"/>
    <s v="18-24"/>
    <x v="8"/>
    <x v="0"/>
    <n v="2024"/>
    <n v="12696.48"/>
    <n v="128654"/>
    <n v="3303"/>
    <n v="335"/>
    <n v="8723.48"/>
    <n v="2.5673511900135249"/>
    <n v="2.6410778080532848"/>
    <n v="26.040238805970148"/>
    <n v="1.4554375088840692"/>
    <s v="🟡 Mid"/>
  </r>
  <r>
    <n v="451"/>
    <s v="Di_Video_Display_2023"/>
    <x v="0"/>
    <s v="Retargeting"/>
    <s v="North"/>
    <s v="Mobile"/>
    <s v="35-44"/>
    <x v="10"/>
    <x v="1"/>
    <n v="2023"/>
    <n v="720.3"/>
    <n v="215960"/>
    <n v="1207"/>
    <n v="78"/>
    <n v="523.02"/>
    <n v="0.55889979625856645"/>
    <n v="0.43332228666114331"/>
    <n v="6.7053846153846148"/>
    <n v="1.3771939887576001"/>
    <s v="🔴 Low"/>
  </r>
  <r>
    <n v="452"/>
    <s v="Di_Retargeting_Display_2024"/>
    <x v="0"/>
    <s v="Brand Awareness"/>
    <s v="North"/>
    <s v="Tablet"/>
    <s v="35-44"/>
    <x v="2"/>
    <x v="2"/>
    <n v="2024"/>
    <n v="14625.73"/>
    <n v="650915"/>
    <n v="2237"/>
    <n v="43"/>
    <n v="13886.52"/>
    <n v="0.34367006444773895"/>
    <n v="6.2076531068395173"/>
    <n v="322.94232558139538"/>
    <n v="1.0532321992839098"/>
    <s v="🔴 Low"/>
  </r>
  <r>
    <n v="453"/>
    <s v="Go_Search_Competitor_2023"/>
    <x v="1"/>
    <s v="Conversions"/>
    <s v="West"/>
    <s v="Mobile"/>
    <s v="18-24"/>
    <x v="3"/>
    <x v="3"/>
    <n v="2023"/>
    <n v="9889.16"/>
    <n v="662667"/>
    <n v="12123"/>
    <n v="1366"/>
    <n v="7854.34"/>
    <n v="1.8294256391219117"/>
    <n v="0.64788748659572715"/>
    <n v="5.7498828696925335"/>
    <n v="1.2590695080681509"/>
    <s v="🟡 Mid"/>
  </r>
  <r>
    <n v="454"/>
    <s v="Fa_Feed_Image_2023"/>
    <x v="2"/>
    <s v="Traffic"/>
    <s v="East"/>
    <s v="Tablet"/>
    <s v="35-44"/>
    <x v="10"/>
    <x v="1"/>
    <n v="2023"/>
    <n v="4561.12"/>
    <n v="723791"/>
    <n v="13355"/>
    <n v="266"/>
    <n v="4491.78"/>
    <n v="1.8451459053787627"/>
    <n v="0.33633695245226503"/>
    <n v="16.886390977443607"/>
    <n v="1.0154370873016934"/>
    <s v="🟡 Mid"/>
  </r>
  <r>
    <n v="455"/>
    <s v="Fa_Feed_Video_2023"/>
    <x v="2"/>
    <s v="Lead Generation"/>
    <s v="East"/>
    <s v="Desktop"/>
    <s v="35-44"/>
    <x v="1"/>
    <x v="1"/>
    <n v="2023"/>
    <n v="11634.14"/>
    <n v="413489"/>
    <n v="7010"/>
    <n v="609"/>
    <n v="8486.85"/>
    <n v="1.6953292590613049"/>
    <n v="1.2106776034236806"/>
    <n v="13.935714285714287"/>
    <n v="1.3708431278978654"/>
    <s v="🟡 Mid"/>
  </r>
  <r>
    <n v="456"/>
    <s v="Fa_Feed_Image_2024"/>
    <x v="2"/>
    <s v="Conversions"/>
    <s v="West"/>
    <s v="Desktop"/>
    <s v="45-54"/>
    <x v="11"/>
    <x v="2"/>
    <n v="2024"/>
    <n v="9312.17"/>
    <n v="322329"/>
    <n v="5899"/>
    <n v="384"/>
    <n v="6769.7"/>
    <n v="1.8301176747981101"/>
    <n v="1.1476012883539584"/>
    <n v="17.629427083333333"/>
    <n v="1.375566125529935"/>
    <s v="🟡 Mid"/>
  </r>
  <r>
    <n v="457"/>
    <s v="Go_Search_Competitor_2023"/>
    <x v="1"/>
    <s v="Brand Awareness"/>
    <s v="South"/>
    <s v="Desktop"/>
    <s v="45-54"/>
    <x v="10"/>
    <x v="1"/>
    <n v="2023"/>
    <n v="16080.99"/>
    <n v="529344"/>
    <n v="16189"/>
    <n v="198"/>
    <n v="15550.79"/>
    <n v="3.0583136863740781"/>
    <n v="0.96057755265921307"/>
    <n v="78.539343434343436"/>
    <n v="1.0340947308786241"/>
    <s v="🟢 High"/>
  </r>
  <r>
    <n v="458"/>
    <s v="Fa_Lead_Form_2023"/>
    <x v="2"/>
    <s v="Lead Generation"/>
    <s v="North"/>
    <s v="Tablet"/>
    <s v="25-34"/>
    <x v="11"/>
    <x v="2"/>
    <n v="2023"/>
    <n v="9457.68"/>
    <n v="753344"/>
    <n v="14882"/>
    <n v="1367"/>
    <n v="6134.73"/>
    <n v="1.9754587545663072"/>
    <n v="0.41222483537158983"/>
    <n v="4.4877322604242869"/>
    <n v="1.5416619802338491"/>
    <s v="🟡 Mid"/>
  </r>
  <r>
    <n v="459"/>
    <s v="Fa_Feed_Image_2023"/>
    <x v="2"/>
    <s v="Traffic"/>
    <s v="North"/>
    <s v="Mobile"/>
    <s v="45-54"/>
    <x v="8"/>
    <x v="0"/>
    <n v="2023"/>
    <n v="10651.27"/>
    <n v="695995"/>
    <n v="11115"/>
    <n v="364"/>
    <n v="9248.68"/>
    <n v="1.5969942312803971"/>
    <n v="0.83208996851102113"/>
    <n v="25.408461538461538"/>
    <n v="1.1516529926432746"/>
    <s v="🟡 Mid"/>
  </r>
  <r>
    <n v="460"/>
    <s v="Go_Search_Competitor_2024"/>
    <x v="1"/>
    <s v="Lead Generation"/>
    <s v="South"/>
    <s v="Mobile"/>
    <s v="35-44"/>
    <x v="10"/>
    <x v="1"/>
    <n v="2024"/>
    <n v="15569.35"/>
    <n v="708724"/>
    <n v="19088"/>
    <n v="898"/>
    <n v="10318.040000000001"/>
    <n v="2.6932910413644802"/>
    <n v="0.54055113160100587"/>
    <n v="11.490022271714922"/>
    <n v="1.5089445282243525"/>
    <s v="🟡 Mid"/>
  </r>
  <r>
    <n v="461"/>
    <s v="Fa_Feed_Video_2023"/>
    <x v="2"/>
    <s v="Brand Awareness"/>
    <s v="Central"/>
    <s v="Tablet"/>
    <s v="55+"/>
    <x v="7"/>
    <x v="0"/>
    <n v="2023"/>
    <n v="11079.31"/>
    <n v="581051"/>
    <n v="8627"/>
    <n v="134"/>
    <n v="7965.72"/>
    <n v="1.4847233719587438"/>
    <n v="0.92334762953518024"/>
    <n v="59.445671641791044"/>
    <n v="1.3908736435626659"/>
    <s v="🔴 Low"/>
  </r>
  <r>
    <n v="462"/>
    <s v="Go_Shopping_2024"/>
    <x v="1"/>
    <s v="Brand Awareness"/>
    <s v="East"/>
    <s v="Tablet"/>
    <s v="35-44"/>
    <x v="10"/>
    <x v="1"/>
    <n v="2024"/>
    <n v="1489.16"/>
    <n v="35401"/>
    <n v="1080"/>
    <n v="13"/>
    <n v="1315.98"/>
    <n v="3.0507612779300022"/>
    <n v="1.2184999999999999"/>
    <n v="101.22923076923077"/>
    <n v="1.1315977446465753"/>
    <s v="🟢 High"/>
  </r>
  <r>
    <n v="463"/>
    <s v="Go_Smart_Campaign_2024"/>
    <x v="1"/>
    <s v="Brand Awareness"/>
    <s v="North"/>
    <s v="Mobile"/>
    <s v="45-54"/>
    <x v="0"/>
    <x v="0"/>
    <n v="2024"/>
    <n v="12518.15"/>
    <n v="332617"/>
    <n v="8766"/>
    <n v="143"/>
    <n v="11765.88"/>
    <n v="2.6354636113006853"/>
    <n v="1.342217659137577"/>
    <n v="82.278881118881117"/>
    <n v="1.0639365691304008"/>
    <s v="🟡 Mid"/>
  </r>
  <r>
    <n v="464"/>
    <s v="Go_Discovery_2024"/>
    <x v="1"/>
    <s v="Traffic"/>
    <s v="South"/>
    <s v="Desktop"/>
    <s v="45-54"/>
    <x v="7"/>
    <x v="0"/>
    <n v="2024"/>
    <n v="6552.64"/>
    <n v="680721"/>
    <n v="21026"/>
    <n v="658"/>
    <n v="5212.41"/>
    <n v="3.088783804231102"/>
    <n v="0.247903072386569"/>
    <n v="7.9215957446808511"/>
    <n v="1.2571229047599863"/>
    <s v="🟢 High"/>
  </r>
  <r>
    <n v="465"/>
    <s v="Go_PMax_2023"/>
    <x v="1"/>
    <s v="Lead Generation"/>
    <s v="Central"/>
    <s v="Mobile"/>
    <s v="35-44"/>
    <x v="1"/>
    <x v="1"/>
    <n v="2023"/>
    <n v="14142.49"/>
    <n v="702492"/>
    <n v="16296"/>
    <n v="969"/>
    <n v="11381.21"/>
    <n v="2.3197417194786558"/>
    <n v="0.69840513009327432"/>
    <n v="11.745314757481939"/>
    <n v="1.2426174369860499"/>
    <s v="🟡 Mid"/>
  </r>
  <r>
    <n v="466"/>
    <s v="Go_Discovery_2024"/>
    <x v="1"/>
    <s v="Brand Awareness"/>
    <s v="East"/>
    <s v="Mobile"/>
    <s v="45-54"/>
    <x v="0"/>
    <x v="0"/>
    <n v="2024"/>
    <n v="15474.86"/>
    <n v="638801"/>
    <n v="23438"/>
    <n v="319"/>
    <n v="12586.3"/>
    <n v="3.6690612569485643"/>
    <n v="0.53700401058110758"/>
    <n v="39.455485893416927"/>
    <n v="1.2295003297235885"/>
    <s v="🟢 High"/>
  </r>
  <r>
    <n v="467"/>
    <s v="Fa_Feed_Video_2024"/>
    <x v="2"/>
    <s v="Conversions"/>
    <s v="Central"/>
    <s v="Tablet"/>
    <s v="18-24"/>
    <x v="5"/>
    <x v="2"/>
    <n v="2024"/>
    <n v="8315.92"/>
    <n v="438525"/>
    <n v="7133"/>
    <n v="436"/>
    <n v="6674.34"/>
    <n v="1.6265891340288468"/>
    <n v="0.9356988644329175"/>
    <n v="15.308119266055046"/>
    <n v="1.2459539070529819"/>
    <s v="🟡 Mid"/>
  </r>
  <r>
    <n v="468"/>
    <s v="Go_Search_Competitor_2024"/>
    <x v="1"/>
    <s v="Lead Generation"/>
    <s v="Central"/>
    <s v="Mobile"/>
    <s v="45-54"/>
    <x v="9"/>
    <x v="3"/>
    <n v="2024"/>
    <n v="11118.27"/>
    <n v="252625"/>
    <n v="8015"/>
    <n v="403"/>
    <n v="9797.7999999999993"/>
    <n v="3.172686788718456"/>
    <n v="1.2224329382407984"/>
    <n v="24.312158808932999"/>
    <n v="1.1347720916940538"/>
    <s v="🟢 High"/>
  </r>
  <r>
    <n v="469"/>
    <s v="Di_Responsive_2023"/>
    <x v="0"/>
    <s v="Brand Awareness"/>
    <s v="Central"/>
    <s v="Tablet"/>
    <s v="45-54"/>
    <x v="2"/>
    <x v="2"/>
    <n v="2023"/>
    <n v="16529.45"/>
    <n v="189731"/>
    <n v="982"/>
    <n v="13"/>
    <n v="14676.72"/>
    <n v="0.51757488233340887"/>
    <n v="14.945743380855397"/>
    <n v="1128.9784615384615"/>
    <n v="1.1262359709798921"/>
    <s v="🔴 Low"/>
  </r>
  <r>
    <n v="470"/>
    <s v="Di_Video_Display_2023"/>
    <x v="0"/>
    <s v="Conversions"/>
    <s v="West"/>
    <s v="Tablet"/>
    <s v="18-24"/>
    <x v="7"/>
    <x v="0"/>
    <n v="2023"/>
    <n v="16432.16"/>
    <n v="613979"/>
    <n v="7224"/>
    <n v="817"/>
    <n v="14249.57"/>
    <n v="1.1765874728614496"/>
    <n v="1.9725318383167221"/>
    <n v="17.441334149326806"/>
    <n v="1.1531688324630147"/>
    <s v="🔴 Low"/>
  </r>
  <r>
    <n v="471"/>
    <s v="Go_Shopping_2024"/>
    <x v="1"/>
    <s v="Lead Generation"/>
    <s v="West"/>
    <s v="Tablet"/>
    <s v="35-44"/>
    <x v="1"/>
    <x v="1"/>
    <n v="2024"/>
    <n v="4315.5"/>
    <n v="719622"/>
    <n v="22329"/>
    <n v="1957"/>
    <n v="3821.01"/>
    <n v="3.1028790114810278"/>
    <n v="0.17112320300953918"/>
    <n v="1.9524833929483905"/>
    <n v="1.1294134273398917"/>
    <s v="🟢 High"/>
  </r>
  <r>
    <n v="472"/>
    <s v="Fa_Lead_Form_2024"/>
    <x v="2"/>
    <s v="Brand Awareness"/>
    <s v="Central"/>
    <s v="Desktop"/>
    <s v="55+"/>
    <x v="10"/>
    <x v="1"/>
    <n v="2024"/>
    <n v="17028.919999999998"/>
    <n v="313474"/>
    <n v="4094"/>
    <n v="24"/>
    <n v="16661.98"/>
    <n v="1.3060094298091707"/>
    <n v="4.0698534440644849"/>
    <n v="694.24916666666661"/>
    <n v="1.0220225927530822"/>
    <s v="🔴 Low"/>
  </r>
  <r>
    <n v="473"/>
    <s v="Go_Search_Brand_2023"/>
    <x v="1"/>
    <s v="Traffic"/>
    <s v="East"/>
    <s v="Desktop"/>
    <s v="35-44"/>
    <x v="8"/>
    <x v="0"/>
    <n v="2023"/>
    <n v="8918.4500000000007"/>
    <n v="623831"/>
    <n v="15318"/>
    <n v="329"/>
    <n v="6780.32"/>
    <n v="2.4554727161683214"/>
    <n v="0.44263742002872436"/>
    <n v="20.60887537993921"/>
    <n v="1.3153435236095052"/>
    <s v="🟡 Mid"/>
  </r>
  <r>
    <n v="474"/>
    <s v="Di_Interstitial_2024"/>
    <x v="0"/>
    <s v="Lead Generation"/>
    <s v="West"/>
    <s v="Desktop"/>
    <s v="25-34"/>
    <x v="10"/>
    <x v="1"/>
    <n v="2024"/>
    <n v="16944.89"/>
    <n v="382789"/>
    <n v="3712"/>
    <n v="335"/>
    <n v="11264.83"/>
    <n v="0.9697248353531579"/>
    <n v="3.0347063577586209"/>
    <n v="33.626358208955224"/>
    <n v="1.5042295356432365"/>
    <s v="🔴 Low"/>
  </r>
  <r>
    <n v="475"/>
    <s v="Di_Native_2024"/>
    <x v="0"/>
    <s v="Lead Generation"/>
    <s v="North"/>
    <s v="Desktop"/>
    <s v="18-24"/>
    <x v="0"/>
    <x v="0"/>
    <n v="2024"/>
    <n v="13329.57"/>
    <n v="147371"/>
    <n v="1942"/>
    <n v="126"/>
    <n v="10550.78"/>
    <n v="1.3177626534392792"/>
    <n v="5.4329454170957776"/>
    <n v="83.736349206349217"/>
    <n v="1.2633729449386679"/>
    <s v="🔴 Low"/>
  </r>
  <r>
    <n v="476"/>
    <s v="Di_Video_Display_2024"/>
    <x v="0"/>
    <s v="Traffic"/>
    <s v="South"/>
    <s v="Mobile"/>
    <s v="55+"/>
    <x v="1"/>
    <x v="1"/>
    <n v="2024"/>
    <n v="8001.94"/>
    <n v="241706"/>
    <n v="2570"/>
    <n v="40"/>
    <n v="6833.02"/>
    <n v="1.0632752186540675"/>
    <n v="2.6587626459143969"/>
    <n v="170.82550000000001"/>
    <n v="1.1710693075682492"/>
    <s v="🔴 Low"/>
  </r>
  <r>
    <n v="477"/>
    <s v="Di_Responsive_2024"/>
    <x v="0"/>
    <s v="Lead Generation"/>
    <s v="Central"/>
    <s v="Mobile"/>
    <s v="45-54"/>
    <x v="10"/>
    <x v="1"/>
    <n v="2024"/>
    <n v="1152.51"/>
    <n v="44704"/>
    <n v="22"/>
    <n v="1"/>
    <n v="924.59"/>
    <n v="4.9212598425196846E-2"/>
    <n v="42.026818181818186"/>
    <n v="924.59"/>
    <n v="1.2465092635654722"/>
    <s v="🔴 Low"/>
  </r>
  <r>
    <n v="478"/>
    <s v="Di_Rich_Media_2023"/>
    <x v="0"/>
    <s v="Lead Generation"/>
    <s v="Central"/>
    <s v="Mobile"/>
    <s v="45-54"/>
    <x v="10"/>
    <x v="1"/>
    <n v="2023"/>
    <n v="10705.46"/>
    <n v="644705"/>
    <n v="2421"/>
    <n v="109"/>
    <n v="8547.56"/>
    <n v="0.37552058693510987"/>
    <n v="3.5305906650144565"/>
    <n v="78.417981651376138"/>
    <n v="1.252458011409104"/>
    <s v="🔴 Low"/>
  </r>
  <r>
    <n v="479"/>
    <s v="Di_Rich_Media_2024"/>
    <x v="0"/>
    <s v="Traffic"/>
    <s v="Central"/>
    <s v="Mobile"/>
    <s v="55+"/>
    <x v="8"/>
    <x v="0"/>
    <n v="2024"/>
    <n v="10933.15"/>
    <n v="16307"/>
    <n v="18"/>
    <n v="0"/>
    <n v="9929.51"/>
    <n v="0.11038204452075795"/>
    <n v="551.63944444444451"/>
    <s v="-"/>
    <n v="1.1010764881650756"/>
    <s v="🔴 Low"/>
  </r>
  <r>
    <n v="480"/>
    <s v="Fa_Lead_Form_2024"/>
    <x v="2"/>
    <s v="Conversions"/>
    <s v="East"/>
    <s v="Desktop"/>
    <s v="18-24"/>
    <x v="6"/>
    <x v="3"/>
    <n v="2024"/>
    <n v="14675.95"/>
    <n v="596088"/>
    <n v="10231"/>
    <n v="698"/>
    <n v="12684.51"/>
    <n v="1.7163573163693953"/>
    <n v="1.2398113576385494"/>
    <n v="18.172650429799429"/>
    <n v="1.1569977870646955"/>
    <s v="🟡 Mid"/>
  </r>
  <r>
    <n v="481"/>
    <s v="Di_Native_2023"/>
    <x v="0"/>
    <s v="Traffic"/>
    <s v="North"/>
    <s v="Tablet"/>
    <s v="35-44"/>
    <x v="6"/>
    <x v="3"/>
    <n v="2023"/>
    <n v="6092.91"/>
    <n v="91518"/>
    <n v="768"/>
    <n v="25"/>
    <n v="4300.75"/>
    <n v="0.8391791778666492"/>
    <n v="5.599934895833333"/>
    <n v="172.03"/>
    <n v="1.4167087135964658"/>
    <s v="🔴 Low"/>
  </r>
  <r>
    <n v="482"/>
    <s v="Di_Programmatic_2023"/>
    <x v="0"/>
    <s v="Conversions"/>
    <s v="East"/>
    <s v="Desktop"/>
    <s v="18-24"/>
    <x v="9"/>
    <x v="3"/>
    <n v="2023"/>
    <n v="18247.560000000001"/>
    <n v="779863"/>
    <n v="6574"/>
    <n v="398"/>
    <n v="14371.67"/>
    <n v="0.84296857268520242"/>
    <n v="2.1861378156373594"/>
    <n v="36.109723618090456"/>
    <n v="1.2696896046179742"/>
    <s v="🔴 Low"/>
  </r>
  <r>
    <n v="483"/>
    <s v="Go_YouTube_PreRoll_2024"/>
    <x v="1"/>
    <s v="Lead Generation"/>
    <s v="West"/>
    <s v="Desktop"/>
    <s v="55+"/>
    <x v="8"/>
    <x v="0"/>
    <n v="2024"/>
    <n v="19689.400000000001"/>
    <n v="157117"/>
    <n v="3195"/>
    <n v="288"/>
    <n v="18038.64"/>
    <n v="2.0335164240661419"/>
    <n v="5.6458967136150235"/>
    <n v="62.634166666666665"/>
    <n v="1.0915124421796767"/>
    <s v="🟡 Mid"/>
  </r>
  <r>
    <n v="484"/>
    <s v="Fa_Messenger_2024"/>
    <x v="2"/>
    <s v="Lead Generation"/>
    <s v="West"/>
    <s v="Tablet"/>
    <s v="25-34"/>
    <x v="11"/>
    <x v="2"/>
    <n v="2024"/>
    <n v="1559.35"/>
    <n v="282238"/>
    <n v="3035"/>
    <n v="258"/>
    <n v="1011.58"/>
    <n v="1.0753335837130364"/>
    <n v="0.33330477759472821"/>
    <n v="3.9208527131782946"/>
    <n v="1.5414994365250398"/>
    <s v="🔴 Low"/>
  </r>
  <r>
    <n v="485"/>
    <s v="Go_Discovery_2023"/>
    <x v="1"/>
    <s v="Retargeting"/>
    <s v="West"/>
    <s v="Mobile"/>
    <s v="45-54"/>
    <x v="6"/>
    <x v="3"/>
    <n v="2023"/>
    <n v="7906.12"/>
    <n v="744883"/>
    <n v="18615"/>
    <n v="1906"/>
    <n v="6187.24"/>
    <n v="2.4990501864051136"/>
    <n v="0.33237926403438084"/>
    <n v="3.2461909758656873"/>
    <n v="1.2778104615305048"/>
    <s v="🟡 Mid"/>
  </r>
  <r>
    <n v="486"/>
    <s v="Fa_Instant_Experience_2024"/>
    <x v="2"/>
    <s v="Retargeting"/>
    <s v="East"/>
    <s v="Tablet"/>
    <s v="18-24"/>
    <x v="7"/>
    <x v="0"/>
    <n v="2024"/>
    <n v="19145.580000000002"/>
    <n v="457760"/>
    <n v="8462"/>
    <n v="920"/>
    <n v="16730.7"/>
    <n v="1.8485669346382385"/>
    <n v="1.9771567005436068"/>
    <n v="18.185543478260872"/>
    <n v="1.1443382524341481"/>
    <s v="🟡 Mid"/>
  </r>
  <r>
    <n v="487"/>
    <s v="Fa_Lead_Form_2024"/>
    <x v="2"/>
    <s v="Conversions"/>
    <s v="East"/>
    <s v="Desktop"/>
    <s v="35-44"/>
    <x v="3"/>
    <x v="3"/>
    <n v="2024"/>
    <n v="9491.6200000000008"/>
    <n v="713094"/>
    <n v="11376"/>
    <n v="1037"/>
    <n v="6472.04"/>
    <n v="1.5953016011914278"/>
    <n v="0.5689205344585091"/>
    <n v="6.2411186113789778"/>
    <n v="1.4665576850575708"/>
    <s v="🟡 Mid"/>
  </r>
  <r>
    <n v="488"/>
    <s v="Fa_Carousel_2023"/>
    <x v="2"/>
    <s v="Conversions"/>
    <s v="Central"/>
    <s v="Desktop"/>
    <s v="18-24"/>
    <x v="7"/>
    <x v="0"/>
    <n v="2023"/>
    <n v="8519.35"/>
    <n v="555779"/>
    <n v="4368"/>
    <n v="250"/>
    <n v="6707.25"/>
    <n v="0.7859239014068542"/>
    <n v="1.5355425824175823"/>
    <n v="26.829000000000001"/>
    <n v="1.2701703380670171"/>
    <s v="🔴 Low"/>
  </r>
  <r>
    <n v="489"/>
    <s v="Go_YouTube_PreRoll_2023"/>
    <x v="1"/>
    <s v="Conversions"/>
    <s v="South"/>
    <s v="Desktop"/>
    <s v="18-24"/>
    <x v="9"/>
    <x v="3"/>
    <n v="2023"/>
    <n v="1609.2"/>
    <n v="627999"/>
    <n v="14280"/>
    <n v="1664"/>
    <n v="1396.78"/>
    <n v="2.2738889711607819"/>
    <n v="9.7813725490196082E-2"/>
    <n v="0.83941105769230773"/>
    <n v="1.1520783516373374"/>
    <s v="🟡 Mid"/>
  </r>
  <r>
    <n v="490"/>
    <s v="Di_Rich_Media_2023"/>
    <x v="0"/>
    <s v="Brand Awareness"/>
    <s v="Central"/>
    <s v="Desktop"/>
    <s v="45-54"/>
    <x v="3"/>
    <x v="3"/>
    <n v="2023"/>
    <n v="17972.03"/>
    <n v="734445"/>
    <n v="367"/>
    <n v="2"/>
    <n v="13006.7"/>
    <n v="4.996970501535173E-2"/>
    <n v="35.440599455040875"/>
    <n v="6503.35"/>
    <n v="1.3817517125789014"/>
    <s v="🔴 Low"/>
  </r>
  <r>
    <n v="491"/>
    <s v="Di_Rich_Media_2023"/>
    <x v="0"/>
    <s v="Retargeting"/>
    <s v="East"/>
    <s v="Mobile"/>
    <s v="35-44"/>
    <x v="5"/>
    <x v="2"/>
    <n v="2023"/>
    <n v="15724.26"/>
    <n v="295756"/>
    <n v="2316"/>
    <n v="200"/>
    <n v="9831.19"/>
    <n v="0.78307794262838293"/>
    <n v="4.2449006908462872"/>
    <n v="49.155950000000004"/>
    <n v="1.5994259087658766"/>
    <s v="🔴 Low"/>
  </r>
  <r>
    <n v="492"/>
    <s v="Fa_Carousel_2024"/>
    <x v="2"/>
    <s v="Retargeting"/>
    <s v="North"/>
    <s v="Mobile"/>
    <s v="25-34"/>
    <x v="9"/>
    <x v="3"/>
    <n v="2024"/>
    <n v="3979.62"/>
    <n v="520959"/>
    <n v="5813"/>
    <n v="399"/>
    <n v="3291.41"/>
    <n v="1.1158267733161344"/>
    <n v="0.56621537932220878"/>
    <n v="8.2491478696741858"/>
    <n v="1.2090927596379668"/>
    <s v="🔴 Low"/>
  </r>
  <r>
    <n v="493"/>
    <s v="Fa_Reels_2023"/>
    <x v="2"/>
    <s v="Traffic"/>
    <s v="North"/>
    <s v="Mobile"/>
    <s v="35-44"/>
    <x v="7"/>
    <x v="0"/>
    <n v="2023"/>
    <n v="1921.93"/>
    <n v="604098"/>
    <n v="8929"/>
    <n v="94"/>
    <n v="1554.91"/>
    <n v="1.478071438740072"/>
    <n v="0.17414156120506216"/>
    <n v="16.541595744680851"/>
    <n v="1.2360393849161688"/>
    <s v="🔴 Low"/>
  </r>
  <r>
    <n v="494"/>
    <s v="Di_Banner_Standard_2024"/>
    <x v="0"/>
    <s v="Brand Awareness"/>
    <s v="West"/>
    <s v="Mobile"/>
    <s v="25-34"/>
    <x v="6"/>
    <x v="3"/>
    <n v="2024"/>
    <n v="18140.04"/>
    <n v="607553"/>
    <n v="303"/>
    <n v="1"/>
    <n v="16275.14"/>
    <n v="4.9872192220267203E-2"/>
    <n v="53.713333333333331"/>
    <n v="16275.14"/>
    <n v="1.1145858038701972"/>
    <s v="🔴 Low"/>
  </r>
  <r>
    <n v="495"/>
    <s v="Fa_Instant_Experience_2023"/>
    <x v="2"/>
    <s v="Retargeting"/>
    <s v="West"/>
    <s v="Tablet"/>
    <s v="18-24"/>
    <x v="10"/>
    <x v="1"/>
    <n v="2023"/>
    <n v="564.49"/>
    <n v="727742"/>
    <n v="13372"/>
    <n v="1409"/>
    <n v="560.38"/>
    <n v="1.8374643761113141"/>
    <n v="4.1906969787615912E-2"/>
    <n v="0.39771469127040454"/>
    <n v="1.0073343088618438"/>
    <s v="🟡 Mid"/>
  </r>
  <r>
    <n v="496"/>
    <s v="Fa_Lead_Form_2024"/>
    <x v="2"/>
    <s v="Conversions"/>
    <s v="West"/>
    <s v="Desktop"/>
    <s v="18-24"/>
    <x v="2"/>
    <x v="2"/>
    <n v="2024"/>
    <n v="2068.91"/>
    <n v="486966"/>
    <n v="5249"/>
    <n v="541"/>
    <n v="1493.3"/>
    <n v="1.0778986623296083"/>
    <n v="0.28449228424461803"/>
    <n v="2.7602587800369687"/>
    <n v="1.3854617290564522"/>
    <s v="🔴 Low"/>
  </r>
  <r>
    <n v="497"/>
    <s v="Go_Shopping_2024"/>
    <x v="1"/>
    <s v="Traffic"/>
    <s v="North"/>
    <s v="Mobile"/>
    <s v="25-34"/>
    <x v="5"/>
    <x v="2"/>
    <n v="2024"/>
    <n v="17980.98"/>
    <n v="666249"/>
    <n v="17213"/>
    <n v="629"/>
    <n v="14096.25"/>
    <n v="2.5835686057314908"/>
    <n v="0.81893045953639687"/>
    <n v="22.410572337042925"/>
    <n v="1.275586060122373"/>
    <s v="🟡 Mid"/>
  </r>
  <r>
    <n v="498"/>
    <s v="Go_Shopping_2024"/>
    <x v="1"/>
    <s v="Brand Awareness"/>
    <s v="South"/>
    <s v="Desktop"/>
    <s v="55+"/>
    <x v="11"/>
    <x v="2"/>
    <n v="2024"/>
    <n v="8080.97"/>
    <n v="571809"/>
    <n v="12950"/>
    <n v="189"/>
    <n v="6544.51"/>
    <n v="2.2647422478484951"/>
    <n v="0.50536756756756762"/>
    <n v="34.627037037037042"/>
    <n v="1.2347708231785115"/>
    <s v="🟡 Mid"/>
  </r>
  <r>
    <n v="499"/>
    <s v="Fa_Feed_Image_2023"/>
    <x v="2"/>
    <s v="Brand Awareness"/>
    <s v="East"/>
    <s v="Desktop"/>
    <s v="35-44"/>
    <x v="6"/>
    <x v="3"/>
    <n v="2023"/>
    <n v="8407.4"/>
    <n v="226960"/>
    <n v="4222"/>
    <n v="50"/>
    <n v="7438.81"/>
    <n v="1.860239689813183"/>
    <n v="1.7619161534817622"/>
    <n v="148.77620000000002"/>
    <n v="1.1302076541812467"/>
    <s v="🟡 Mid"/>
  </r>
  <r>
    <n v="500"/>
    <s v="Di_Native_2023"/>
    <x v="0"/>
    <s v="Traffic"/>
    <s v="South"/>
    <s v="Desktop"/>
    <s v="18-24"/>
    <x v="6"/>
    <x v="3"/>
    <n v="2023"/>
    <n v="10033.450000000001"/>
    <n v="24989"/>
    <n v="12"/>
    <n v="0"/>
    <n v="9888.65"/>
    <n v="4.8021129296890633E-2"/>
    <n v="824.05416666666667"/>
    <s v="-"/>
    <n v="1.0146430503658235"/>
    <s v="🔴 Low"/>
  </r>
  <r>
    <n v="501"/>
    <s v="Go_PMax_2023"/>
    <x v="1"/>
    <s v="Lead Generation"/>
    <s v="North"/>
    <s v="Desktop"/>
    <s v="18-24"/>
    <x v="5"/>
    <x v="2"/>
    <n v="2023"/>
    <n v="9395.6"/>
    <n v="183980"/>
    <n v="5322"/>
    <n v="473"/>
    <n v="6087.93"/>
    <n v="2.8927057288835742"/>
    <n v="1.1439177001127396"/>
    <n v="12.870887949260043"/>
    <n v="1.5433160368138268"/>
    <s v="🟡 Mid"/>
  </r>
  <r>
    <n v="502"/>
    <s v="Di_Interstitial_2024"/>
    <x v="0"/>
    <s v="Brand Awareness"/>
    <s v="South"/>
    <s v="Mobile"/>
    <s v="35-44"/>
    <x v="6"/>
    <x v="3"/>
    <n v="2024"/>
    <n v="6822.58"/>
    <n v="722318"/>
    <n v="3927"/>
    <n v="53"/>
    <n v="4487.0600000000004"/>
    <n v="0.5436663630146279"/>
    <n v="1.1426177743824804"/>
    <n v="84.661509433962266"/>
    <n v="1.5205011744884176"/>
    <s v="🔴 Low"/>
  </r>
  <r>
    <n v="503"/>
    <s v="Go_Search_Brand_2024"/>
    <x v="1"/>
    <s v="Traffic"/>
    <s v="South"/>
    <s v="Mobile"/>
    <s v="18-24"/>
    <x v="7"/>
    <x v="0"/>
    <n v="2024"/>
    <n v="3254.12"/>
    <n v="440320"/>
    <n v="13371"/>
    <n v="199"/>
    <n v="2285.4699999999998"/>
    <n v="3.036655159883721"/>
    <n v="0.1709273801510732"/>
    <n v="11.484773869346732"/>
    <n v="1.4238296717961734"/>
    <s v="🟢 High"/>
  </r>
  <r>
    <n v="504"/>
    <s v="Di_Banner_Standard_2023"/>
    <x v="0"/>
    <s v="Lead Generation"/>
    <s v="North"/>
    <s v="Tablet"/>
    <s v="55+"/>
    <x v="1"/>
    <x v="1"/>
    <n v="2023"/>
    <n v="804.79"/>
    <n v="515622"/>
    <n v="5766"/>
    <n v="258"/>
    <n v="485.32"/>
    <n v="1.1182610517006646"/>
    <n v="8.416926812348248E-2"/>
    <n v="1.8810852713178294"/>
    <n v="1.6582667106239182"/>
    <s v="🔴 Low"/>
  </r>
  <r>
    <n v="505"/>
    <s v="Go_YouTube_PreRoll_2023"/>
    <x v="1"/>
    <s v="Retargeting"/>
    <s v="West"/>
    <s v="Tablet"/>
    <s v="25-34"/>
    <x v="11"/>
    <x v="2"/>
    <n v="2023"/>
    <n v="12976.6"/>
    <n v="553496"/>
    <n v="13549"/>
    <n v="1002"/>
    <n v="11555.7"/>
    <n v="2.447894835735037"/>
    <n v="0.8528821315226216"/>
    <n v="11.532634730538923"/>
    <n v="1.1229609629879627"/>
    <s v="🟡 Mid"/>
  </r>
  <r>
    <n v="506"/>
    <s v="Di_Native_2024"/>
    <x v="0"/>
    <s v="Retargeting"/>
    <s v="Central"/>
    <s v="Desktop"/>
    <s v="35-44"/>
    <x v="2"/>
    <x v="2"/>
    <n v="2024"/>
    <n v="589.12"/>
    <n v="252085"/>
    <n v="2050"/>
    <n v="154"/>
    <n v="597.59"/>
    <n v="0.81321776384949518"/>
    <n v="0.29150731707317074"/>
    <n v="3.8804545454545458"/>
    <n v="0.98582640271758226"/>
    <s v="🔴 Low"/>
  </r>
  <r>
    <n v="507"/>
    <s v="Go_Search_Competitor_2023"/>
    <x v="1"/>
    <s v="Traffic"/>
    <s v="Central"/>
    <s v="Desktop"/>
    <s v="45-54"/>
    <x v="3"/>
    <x v="3"/>
    <n v="2023"/>
    <n v="5890.32"/>
    <n v="208129"/>
    <n v="6277"/>
    <n v="221"/>
    <n v="5789.14"/>
    <n v="3.0159180123865488"/>
    <n v="0.92227815835590254"/>
    <n v="26.195203619909503"/>
    <n v="1.0174775527971338"/>
    <s v="🟢 High"/>
  </r>
  <r>
    <n v="508"/>
    <s v="Fa_Carousel_2023"/>
    <x v="2"/>
    <s v="Lead Generation"/>
    <s v="North"/>
    <s v="Desktop"/>
    <s v="35-44"/>
    <x v="5"/>
    <x v="2"/>
    <n v="2023"/>
    <n v="8976.1"/>
    <n v="355533"/>
    <n v="6345"/>
    <n v="488"/>
    <n v="8741.23"/>
    <n v="1.784644463383146"/>
    <n v="1.3776564223798267"/>
    <n v="17.912356557377048"/>
    <n v="1.0268692163459834"/>
    <s v="🟡 Mid"/>
  </r>
  <r>
    <n v="509"/>
    <s v="Fa_Feed_Image_2023"/>
    <x v="2"/>
    <s v="Brand Awareness"/>
    <s v="North"/>
    <s v="Tablet"/>
    <s v="25-34"/>
    <x v="0"/>
    <x v="0"/>
    <n v="2023"/>
    <n v="9958.7000000000007"/>
    <n v="126703"/>
    <n v="2446"/>
    <n v="28"/>
    <n v="8400.16"/>
    <n v="1.9304988832150778"/>
    <n v="3.4342436631234667"/>
    <n v="300.0057142857143"/>
    <n v="1.1855369421534829"/>
    <s v="🟡 Mid"/>
  </r>
  <r>
    <n v="510"/>
    <s v="Fa_Reels_2023"/>
    <x v="2"/>
    <s v="Conversions"/>
    <s v="South"/>
    <s v="Desktop"/>
    <s v="35-44"/>
    <x v="11"/>
    <x v="2"/>
    <n v="2023"/>
    <n v="5123.8100000000004"/>
    <n v="437637"/>
    <n v="7692"/>
    <n v="852"/>
    <n v="3882.43"/>
    <n v="1.7576210420965319"/>
    <n v="0.50473608944357773"/>
    <n v="4.5568427230046948"/>
    <n v="1.3197430475243599"/>
    <s v="🟡 Mid"/>
  </r>
  <r>
    <n v="511"/>
    <s v="Go_Search_Generic_2023"/>
    <x v="1"/>
    <s v="Retargeting"/>
    <s v="Central"/>
    <s v="Mobile"/>
    <s v="18-24"/>
    <x v="1"/>
    <x v="1"/>
    <n v="2023"/>
    <n v="4715.22"/>
    <n v="644037"/>
    <n v="14972"/>
    <n v="1061"/>
    <n v="4254.66"/>
    <n v="2.3247111578993134"/>
    <n v="0.2841744589901149"/>
    <n v="4.0100471253534398"/>
    <n v="1.1082483676721526"/>
    <s v="🟡 Mid"/>
  </r>
  <r>
    <n v="512"/>
    <s v="Di_Retargeting_Display_2023"/>
    <x v="0"/>
    <s v="Conversions"/>
    <s v="South"/>
    <s v="Mobile"/>
    <s v="25-34"/>
    <x v="8"/>
    <x v="0"/>
    <n v="2023"/>
    <n v="5971.78"/>
    <n v="121506"/>
    <n v="1018"/>
    <n v="111"/>
    <n v="4733.25"/>
    <n v="0.83781870854114193"/>
    <n v="4.6495579567779961"/>
    <n v="42.641891891891895"/>
    <n v="1.2616658743991971"/>
    <s v="🔴 Low"/>
  </r>
  <r>
    <n v="513"/>
    <s v="Go_Search_Competitor_2023"/>
    <x v="1"/>
    <s v="Lead Generation"/>
    <s v="East"/>
    <s v="Tablet"/>
    <s v="25-34"/>
    <x v="3"/>
    <x v="3"/>
    <n v="2023"/>
    <n v="11773.37"/>
    <n v="584606"/>
    <n v="17130"/>
    <n v="1565"/>
    <n v="9483.09"/>
    <n v="2.9301786160251519"/>
    <n v="0.55359544658493876"/>
    <n v="6.0594824281150164"/>
    <n v="1.2415119966171364"/>
    <s v="🟡 Mid"/>
  </r>
  <r>
    <n v="514"/>
    <s v="Go_Discovery_2023"/>
    <x v="1"/>
    <s v="Retargeting"/>
    <s v="East"/>
    <s v="Desktop"/>
    <s v="45-54"/>
    <x v="6"/>
    <x v="3"/>
    <n v="2023"/>
    <n v="5332.71"/>
    <n v="460342"/>
    <n v="12116"/>
    <n v="1288"/>
    <n v="5197.08"/>
    <n v="2.6319562412293469"/>
    <n v="0.42894354572466159"/>
    <n v="4.0350000000000001"/>
    <n v="1.0260973469717611"/>
    <s v="🟡 Mid"/>
  </r>
  <r>
    <n v="515"/>
    <s v="Di_Native_2024"/>
    <x v="0"/>
    <s v="Traffic"/>
    <s v="North"/>
    <s v="Mobile"/>
    <s v="18-24"/>
    <x v="8"/>
    <x v="0"/>
    <n v="2024"/>
    <n v="14802.79"/>
    <n v="533709"/>
    <n v="6947"/>
    <n v="169"/>
    <n v="13843.09"/>
    <n v="1.3016456533429266"/>
    <n v="1.9926716568302865"/>
    <n v="81.911775147928992"/>
    <n v="1.0693270071927583"/>
    <s v="🔴 Low"/>
  </r>
  <r>
    <n v="516"/>
    <s v="Go_Discovery_2024"/>
    <x v="1"/>
    <s v="Retargeting"/>
    <s v="South"/>
    <s v="Desktop"/>
    <s v="55+"/>
    <x v="8"/>
    <x v="0"/>
    <n v="2024"/>
    <n v="19023.71"/>
    <n v="144158"/>
    <n v="4222"/>
    <n v="374"/>
    <n v="13324.32"/>
    <n v="2.9287309757349576"/>
    <n v="3.1559261013737565"/>
    <n v="35.626524064171122"/>
    <n v="1.4277434045414701"/>
    <s v="🟡 Mid"/>
  </r>
  <r>
    <n v="517"/>
    <s v="Go_Search_Brand_2023"/>
    <x v="1"/>
    <s v="Retargeting"/>
    <s v="East"/>
    <s v="Desktop"/>
    <s v="45-54"/>
    <x v="9"/>
    <x v="3"/>
    <n v="2023"/>
    <n v="19540.21"/>
    <n v="491288"/>
    <n v="14440"/>
    <n v="1334"/>
    <n v="18206.41"/>
    <n v="2.9392128446043868"/>
    <n v="1.2608317174515236"/>
    <n v="13.647983508245877"/>
    <n v="1.073259912305611"/>
    <s v="🟡 Mid"/>
  </r>
  <r>
    <n v="518"/>
    <s v="Fa_Instant_Experience_2023"/>
    <x v="2"/>
    <s v="Brand Awareness"/>
    <s v="North"/>
    <s v="Mobile"/>
    <s v="35-44"/>
    <x v="10"/>
    <x v="1"/>
    <n v="2023"/>
    <n v="6283.5"/>
    <n v="794460"/>
    <n v="4698"/>
    <n v="42"/>
    <n v="6266.91"/>
    <n v="0.59134506457216229"/>
    <n v="1.3339527458492975"/>
    <n v="149.21214285714285"/>
    <n v="1.0026472376338578"/>
    <s v="🔴 Low"/>
  </r>
  <r>
    <n v="519"/>
    <s v="Di_Interstitial_2024"/>
    <x v="0"/>
    <s v="Brand Awareness"/>
    <s v="Central"/>
    <s v="Mobile"/>
    <s v="18-24"/>
    <x v="10"/>
    <x v="1"/>
    <n v="2024"/>
    <n v="17815.57"/>
    <n v="121356"/>
    <n v="345"/>
    <n v="1"/>
    <n v="13431.19"/>
    <n v="0.28428755067734601"/>
    <n v="38.930985507246376"/>
    <n v="13431.19"/>
    <n v="1.3264327285966471"/>
    <s v="🔴 Low"/>
  </r>
  <r>
    <n v="520"/>
    <s v="Di_Rich_Media_2023"/>
    <x v="0"/>
    <s v="Traffic"/>
    <s v="South"/>
    <s v="Desktop"/>
    <s v="35-44"/>
    <x v="11"/>
    <x v="2"/>
    <n v="2023"/>
    <n v="13156.25"/>
    <n v="778199"/>
    <n v="8368"/>
    <n v="319"/>
    <n v="11099.27"/>
    <n v="1.0753033607085076"/>
    <n v="1.3263945984703633"/>
    <n v="34.793949843260187"/>
    <n v="1.1853257016001952"/>
    <s v="🔴 Low"/>
  </r>
  <r>
    <n v="521"/>
    <s v="Di_Interstitial_2024"/>
    <x v="0"/>
    <s v="Lead Generation"/>
    <s v="East"/>
    <s v="Mobile"/>
    <s v="35-44"/>
    <x v="10"/>
    <x v="1"/>
    <n v="2024"/>
    <n v="5904.33"/>
    <n v="71447"/>
    <n v="226"/>
    <n v="15"/>
    <n v="5599.76"/>
    <n v="0.31631838985541727"/>
    <n v="24.77769911504425"/>
    <n v="373.31733333333335"/>
    <n v="1.0543898309927568"/>
    <s v="🔴 Low"/>
  </r>
  <r>
    <n v="522"/>
    <s v="Fa_Stories_2024"/>
    <x v="2"/>
    <s v="Retargeting"/>
    <s v="Central"/>
    <s v="Mobile"/>
    <s v="18-24"/>
    <x v="11"/>
    <x v="2"/>
    <n v="2024"/>
    <n v="2202.52"/>
    <n v="414660"/>
    <n v="8265"/>
    <n v="1089"/>
    <n v="1588.27"/>
    <n v="1.9931992475763276"/>
    <n v="0.19216817906836056"/>
    <n v="1.4584664830119376"/>
    <n v="1.3867415489809667"/>
    <s v="🟡 Mid"/>
  </r>
  <r>
    <n v="523"/>
    <s v="Go_Search_Generic_2023"/>
    <x v="1"/>
    <s v="Lead Generation"/>
    <s v="East"/>
    <s v="Desktop"/>
    <s v="25-34"/>
    <x v="4"/>
    <x v="1"/>
    <n v="2023"/>
    <n v="17562.37"/>
    <n v="550980"/>
    <n v="15991"/>
    <n v="1039"/>
    <n v="15570.96"/>
    <n v="2.9022832044720315"/>
    <n v="0.97373272465761984"/>
    <n v="14.986487006737246"/>
    <n v="1.1278925641065163"/>
    <s v="🟡 Mid"/>
  </r>
  <r>
    <n v="524"/>
    <s v="Go_Discovery_2023"/>
    <x v="1"/>
    <s v="Conversions"/>
    <s v="West"/>
    <s v="Mobile"/>
    <s v="18-24"/>
    <x v="5"/>
    <x v="2"/>
    <n v="2023"/>
    <n v="1727.52"/>
    <n v="248613"/>
    <n v="6882"/>
    <n v="746"/>
    <n v="1413.53"/>
    <n v="2.7681577391367305"/>
    <n v="0.20539523394362103"/>
    <n v="1.8948123324396782"/>
    <n v="1.2221318259959109"/>
    <s v="🟡 Mid"/>
  </r>
  <r>
    <n v="525"/>
    <s v="Fa_Messenger_2024"/>
    <x v="2"/>
    <s v="Traffic"/>
    <s v="East"/>
    <s v="Tablet"/>
    <s v="35-44"/>
    <x v="4"/>
    <x v="1"/>
    <n v="2024"/>
    <n v="9431.14"/>
    <n v="599806"/>
    <n v="13172"/>
    <n v="199"/>
    <n v="6688.59"/>
    <n v="2.1960433873619136"/>
    <n v="0.50778849073792898"/>
    <n v="33.611005025125628"/>
    <n v="1.4100341028527685"/>
    <s v="🟡 Mid"/>
  </r>
  <r>
    <n v="526"/>
    <s v="Fa_Lead_Form_2024"/>
    <x v="2"/>
    <s v="Conversions"/>
    <s v="North"/>
    <s v="Desktop"/>
    <s v="35-44"/>
    <x v="5"/>
    <x v="2"/>
    <n v="2024"/>
    <n v="19146.169999999998"/>
    <n v="653680"/>
    <n v="14712"/>
    <n v="1687"/>
    <n v="17211.66"/>
    <n v="2.2506425162158856"/>
    <n v="1.1699061990212072"/>
    <n v="10.202525192649674"/>
    <n v="1.1123953180576422"/>
    <s v="🟡 Mid"/>
  </r>
  <r>
    <n v="527"/>
    <s v="Fa_Carousel_2023"/>
    <x v="2"/>
    <s v="Lead Generation"/>
    <s v="South"/>
    <s v="Desktop"/>
    <s v="25-34"/>
    <x v="7"/>
    <x v="0"/>
    <n v="2023"/>
    <n v="19878.57"/>
    <n v="607433"/>
    <n v="11371"/>
    <n v="580"/>
    <n v="16623.349999999999"/>
    <n v="1.8719760039378828"/>
    <n v="1.4619074839504"/>
    <n v="28.660948275862065"/>
    <n v="1.195822141746399"/>
    <s v="🟡 Mid"/>
  </r>
  <r>
    <n v="528"/>
    <s v="Go_Search_Competitor_2023"/>
    <x v="1"/>
    <s v="Conversions"/>
    <s v="South"/>
    <s v="Mobile"/>
    <s v="45-54"/>
    <x v="10"/>
    <x v="1"/>
    <n v="2023"/>
    <n v="10906.04"/>
    <n v="132391"/>
    <n v="4073"/>
    <n v="466"/>
    <n v="8396.74"/>
    <n v="3.076493115090905"/>
    <n v="2.0615615025779523"/>
    <n v="18.018755364806868"/>
    <n v="1.298842169699193"/>
    <s v="🟢 High"/>
  </r>
  <r>
    <n v="529"/>
    <s v="Fa_Carousel_2024"/>
    <x v="2"/>
    <s v="Retargeting"/>
    <s v="East"/>
    <s v="Desktop"/>
    <s v="18-24"/>
    <x v="6"/>
    <x v="3"/>
    <n v="2024"/>
    <n v="13121.26"/>
    <n v="314913"/>
    <n v="3753"/>
    <n v="508"/>
    <n v="13277.27"/>
    <n v="1.1917577235617456"/>
    <n v="3.5377751132427391"/>
    <n v="26.136358267716535"/>
    <n v="0.98824984352958101"/>
    <s v="🔴 Low"/>
  </r>
  <r>
    <n v="530"/>
    <s v="Di_Native_2024"/>
    <x v="0"/>
    <s v="Traffic"/>
    <s v="West"/>
    <s v="Mobile"/>
    <s v="18-24"/>
    <x v="6"/>
    <x v="3"/>
    <n v="2024"/>
    <n v="18053.400000000001"/>
    <n v="151195"/>
    <n v="1160"/>
    <n v="35"/>
    <n v="11718.24"/>
    <n v="0.76722113826515426"/>
    <n v="10.101931034482758"/>
    <n v="334.80685714285715"/>
    <n v="1.5406238479498628"/>
    <s v="🔴 Low"/>
  </r>
  <r>
    <n v="531"/>
    <s v="Go_Smart_Campaign_2024"/>
    <x v="1"/>
    <s v="Traffic"/>
    <s v="South"/>
    <s v="Mobile"/>
    <s v="35-44"/>
    <x v="7"/>
    <x v="0"/>
    <n v="2024"/>
    <n v="1573.16"/>
    <n v="677465"/>
    <n v="20368"/>
    <n v="681"/>
    <n v="1450.74"/>
    <n v="3.0065021809244761"/>
    <n v="7.1226433621366853E-2"/>
    <n v="2.130308370044053"/>
    <n v="1.0843845210030743"/>
    <s v="🟢 High"/>
  </r>
  <r>
    <n v="532"/>
    <s v="Go_Search_Brand_2024"/>
    <x v="1"/>
    <s v="Brand Awareness"/>
    <s v="Central"/>
    <s v="Mobile"/>
    <s v="18-24"/>
    <x v="10"/>
    <x v="1"/>
    <n v="2024"/>
    <n v="4291.78"/>
    <n v="338193"/>
    <n v="11415"/>
    <n v="160"/>
    <n v="3497.17"/>
    <n v="3.3752916234221289"/>
    <n v="0.30636618484450284"/>
    <n v="21.857312499999999"/>
    <n v="1.2272151482484408"/>
    <s v="🟢 High"/>
  </r>
  <r>
    <n v="533"/>
    <s v="Go_Search_Competitor_2024"/>
    <x v="1"/>
    <s v="Retargeting"/>
    <s v="South"/>
    <s v="Tablet"/>
    <s v="45-54"/>
    <x v="2"/>
    <x v="2"/>
    <n v="2024"/>
    <n v="7770.21"/>
    <n v="303477"/>
    <n v="7765"/>
    <n v="742"/>
    <n v="6493.05"/>
    <n v="2.5586782523881544"/>
    <n v="0.83619446233097239"/>
    <n v="8.750741239892184"/>
    <n v="1.1966964677616836"/>
    <s v="🟡 Mid"/>
  </r>
  <r>
    <n v="534"/>
    <s v="Go_Discovery_2024"/>
    <x v="1"/>
    <s v="Retargeting"/>
    <s v="West"/>
    <s v="Mobile"/>
    <s v="25-34"/>
    <x v="6"/>
    <x v="3"/>
    <n v="2024"/>
    <n v="14707.81"/>
    <n v="439313"/>
    <n v="13860"/>
    <n v="986"/>
    <n v="12451.86"/>
    <n v="3.1549259867110693"/>
    <n v="0.89840259740259742"/>
    <n v="12.628661257606492"/>
    <n v="1.1811737362932124"/>
    <s v="🟢 High"/>
  </r>
  <r>
    <n v="535"/>
    <s v="Go_Shopping_2023"/>
    <x v="1"/>
    <s v="Lead Generation"/>
    <s v="East"/>
    <s v="Mobile"/>
    <s v="55+"/>
    <x v="2"/>
    <x v="2"/>
    <n v="2023"/>
    <n v="18696.48"/>
    <n v="624371"/>
    <n v="17533"/>
    <n v="1132"/>
    <n v="18398.32"/>
    <n v="2.8081060779568556"/>
    <n v="1.0493537899960075"/>
    <n v="16.252932862190814"/>
    <n v="1.0162058274885968"/>
    <s v="🟡 Mid"/>
  </r>
  <r>
    <n v="536"/>
    <s v="Fa_Carousel_2023"/>
    <x v="2"/>
    <s v="Traffic"/>
    <s v="West"/>
    <s v="Tablet"/>
    <s v="55+"/>
    <x v="0"/>
    <x v="0"/>
    <n v="2023"/>
    <n v="4127.13"/>
    <n v="405314"/>
    <n v="5613"/>
    <n v="104"/>
    <n v="3326.66"/>
    <n v="1.3848522380179318"/>
    <n v="0.59267058613931944"/>
    <n v="31.987115384615382"/>
    <n v="1.2406227266988512"/>
    <s v="🔴 Low"/>
  </r>
  <r>
    <n v="537"/>
    <s v="Fa_Stories_2023"/>
    <x v="2"/>
    <s v="Retargeting"/>
    <s v="Central"/>
    <s v="Tablet"/>
    <s v="45-54"/>
    <x v="11"/>
    <x v="2"/>
    <n v="2023"/>
    <n v="15928.78"/>
    <n v="166505"/>
    <n v="2498"/>
    <n v="316"/>
    <n v="12718.61"/>
    <n v="1.5002552475901625"/>
    <n v="5.0915172137710174"/>
    <n v="40.248765822784812"/>
    <n v="1.2523994367309006"/>
    <s v="🟡 Mid"/>
  </r>
  <r>
    <n v="538"/>
    <s v="Di_Programmatic_2023"/>
    <x v="0"/>
    <s v="Retargeting"/>
    <s v="South"/>
    <s v="Mobile"/>
    <s v="25-34"/>
    <x v="8"/>
    <x v="0"/>
    <n v="2023"/>
    <n v="15412.01"/>
    <n v="522000"/>
    <n v="10157"/>
    <n v="1417"/>
    <n v="9679.1200000000008"/>
    <n v="1.9457854406130268"/>
    <n v="0.95295067441173587"/>
    <n v="6.8307127734650672"/>
    <n v="1.5922945474381967"/>
    <s v="🟡 Mid"/>
  </r>
  <r>
    <n v="539"/>
    <s v="Di_Retargeting_Display_2024"/>
    <x v="0"/>
    <s v="Traffic"/>
    <s v="West"/>
    <s v="Tablet"/>
    <s v="45-54"/>
    <x v="5"/>
    <x v="2"/>
    <n v="2024"/>
    <n v="19498.05"/>
    <n v="130392"/>
    <n v="172"/>
    <n v="1"/>
    <n v="13824.23"/>
    <n v="0.13190993312473159"/>
    <n v="80.373430232558135"/>
    <n v="13824.23"/>
    <n v="1.4104257524650559"/>
    <s v="🔴 Low"/>
  </r>
  <r>
    <n v="540"/>
    <s v="Di_Banner_Standard_2023"/>
    <x v="0"/>
    <s v="Lead Generation"/>
    <s v="East"/>
    <s v="Mobile"/>
    <s v="25-34"/>
    <x v="2"/>
    <x v="2"/>
    <n v="2023"/>
    <n v="1531.32"/>
    <n v="383707"/>
    <n v="4915"/>
    <n v="320"/>
    <n v="1505.42"/>
    <n v="1.2809252893483831"/>
    <n v="0.30629094608341811"/>
    <n v="4.7044375"/>
    <n v="1.0172045010694688"/>
    <s v="🔴 Low"/>
  </r>
  <r>
    <n v="541"/>
    <s v="Fa_Feed_Image_2023"/>
    <x v="2"/>
    <s v="Conversions"/>
    <s v="East"/>
    <s v="Tablet"/>
    <s v="18-24"/>
    <x v="10"/>
    <x v="1"/>
    <n v="2023"/>
    <n v="15445.63"/>
    <n v="197148"/>
    <n v="3277"/>
    <n v="202"/>
    <n v="11360.18"/>
    <n v="1.6622030149938116"/>
    <n v="3.4666402197131525"/>
    <n v="56.238514851485149"/>
    <n v="1.359628984752002"/>
    <s v="🟡 Mid"/>
  </r>
  <r>
    <n v="542"/>
    <s v="Fa_Stories_2024"/>
    <x v="2"/>
    <s v="Conversions"/>
    <s v="East"/>
    <s v="Desktop"/>
    <s v="55+"/>
    <x v="9"/>
    <x v="3"/>
    <n v="2024"/>
    <n v="16554.64"/>
    <n v="18524"/>
    <n v="171"/>
    <n v="10"/>
    <n v="11889.47"/>
    <n v="0.92312675448067372"/>
    <n v="69.529064327485372"/>
    <n v="1188.9469999999999"/>
    <n v="1.3923782977710528"/>
    <s v="🔴 Low"/>
  </r>
  <r>
    <n v="543"/>
    <s v="Fa_Messenger_2023"/>
    <x v="2"/>
    <s v="Conversions"/>
    <s v="South"/>
    <s v="Desktop"/>
    <s v="25-34"/>
    <x v="0"/>
    <x v="0"/>
    <n v="2023"/>
    <n v="16715.68"/>
    <n v="590792"/>
    <n v="5235"/>
    <n v="454"/>
    <n v="13765.03"/>
    <n v="0.88609866078078248"/>
    <n v="2.629423113658071"/>
    <n v="30.319449339207051"/>
    <n v="1.214358414039054"/>
    <s v="🔴 Low"/>
  </r>
  <r>
    <n v="544"/>
    <s v="Di_Rich_Media_2023"/>
    <x v="0"/>
    <s v="Retargeting"/>
    <s v="West"/>
    <s v="Desktop"/>
    <s v="18-24"/>
    <x v="0"/>
    <x v="0"/>
    <n v="2023"/>
    <n v="9850.61"/>
    <n v="331708"/>
    <n v="275"/>
    <n v="31"/>
    <n v="6485.5"/>
    <n v="8.2904241079503657E-2"/>
    <n v="23.583636363636362"/>
    <n v="209.20967741935485"/>
    <n v="1.5188667026443605"/>
    <s v="🔴 Low"/>
  </r>
  <r>
    <n v="545"/>
    <s v="Fa_Lead_Form_2023"/>
    <x v="2"/>
    <s v="Lead Generation"/>
    <s v="East"/>
    <s v="Desktop"/>
    <s v="18-24"/>
    <x v="11"/>
    <x v="2"/>
    <n v="2023"/>
    <n v="17207.900000000001"/>
    <n v="154274"/>
    <n v="2217"/>
    <n v="116"/>
    <n v="17415.53"/>
    <n v="1.437053554066142"/>
    <n v="7.8554488046910231"/>
    <n v="150.13387931034481"/>
    <n v="0.98807788221202586"/>
    <s v="🔴 Low"/>
  </r>
  <r>
    <n v="546"/>
    <s v="Fa_Feed_Video_2023"/>
    <x v="2"/>
    <s v="Brand Awareness"/>
    <s v="North"/>
    <s v="Mobile"/>
    <s v="45-54"/>
    <x v="8"/>
    <x v="0"/>
    <n v="2023"/>
    <n v="2602.44"/>
    <n v="696838"/>
    <n v="8386"/>
    <n v="106"/>
    <n v="1626.24"/>
    <n v="1.2034360927503953"/>
    <n v="0.19392320534223706"/>
    <n v="15.341886792452831"/>
    <n v="1.6002804014167651"/>
    <s v="🔴 Low"/>
  </r>
  <r>
    <n v="547"/>
    <s v="Go_YouTube_PreRoll_2023"/>
    <x v="1"/>
    <s v="Brand Awareness"/>
    <s v="North"/>
    <s v="Mobile"/>
    <s v="18-24"/>
    <x v="7"/>
    <x v="0"/>
    <n v="2023"/>
    <n v="18441.91"/>
    <n v="220378"/>
    <n v="5543"/>
    <n v="83"/>
    <n v="11291.78"/>
    <n v="2.5152238426703213"/>
    <n v="2.0371243009200795"/>
    <n v="136.0455421686747"/>
    <n v="1.6332154894976698"/>
    <s v="🟡 Mid"/>
  </r>
  <r>
    <n v="548"/>
    <s v="Go_YouTube_PreRoll_2023"/>
    <x v="1"/>
    <s v="Traffic"/>
    <s v="East"/>
    <s v="Mobile"/>
    <s v="25-34"/>
    <x v="10"/>
    <x v="1"/>
    <n v="2023"/>
    <n v="10345.73"/>
    <n v="76656"/>
    <n v="2012"/>
    <n v="26"/>
    <n v="8719.5499999999993"/>
    <n v="2.6247130035483197"/>
    <n v="4.333772365805169"/>
    <n v="335.36730769230769"/>
    <n v="1.1864981564415595"/>
    <s v="🟡 Mid"/>
  </r>
  <r>
    <n v="549"/>
    <s v="Go_PMax_2023"/>
    <x v="1"/>
    <s v="Lead Generation"/>
    <s v="East"/>
    <s v="Desktop"/>
    <s v="55+"/>
    <x v="8"/>
    <x v="0"/>
    <n v="2023"/>
    <n v="18522.53"/>
    <n v="533687"/>
    <n v="16742"/>
    <n v="1370"/>
    <n v="12553.7"/>
    <n v="3.1370447472020122"/>
    <n v="0.74983275594313703"/>
    <n v="9.163284671532848"/>
    <n v="1.4754638074830526"/>
    <s v="🟢 High"/>
  </r>
  <r>
    <n v="550"/>
    <s v="Di_Rich_Media_2023"/>
    <x v="0"/>
    <s v="Lead Generation"/>
    <s v="East"/>
    <s v="Mobile"/>
    <s v="45-54"/>
    <x v="11"/>
    <x v="2"/>
    <n v="2023"/>
    <n v="8447.77"/>
    <n v="334546"/>
    <n v="815"/>
    <n v="38"/>
    <n v="5460.07"/>
    <n v="0.24361373323847843"/>
    <n v="6.6994723926380368"/>
    <n v="143.68605263157895"/>
    <n v="1.5471907869313033"/>
    <s v="🔴 Low"/>
  </r>
  <r>
    <n v="551"/>
    <s v="Go_Discovery_2024"/>
    <x v="1"/>
    <s v="Conversions"/>
    <s v="East"/>
    <s v="Tablet"/>
    <s v="18-24"/>
    <x v="7"/>
    <x v="0"/>
    <n v="2024"/>
    <n v="10127.4"/>
    <n v="408472"/>
    <n v="10857"/>
    <n v="779"/>
    <n v="10228.629999999999"/>
    <n v="2.6579545231986526"/>
    <n v="0.94212305425071374"/>
    <n v="13.130462130937097"/>
    <n v="0.99010326896172807"/>
    <s v="🟡 Mid"/>
  </r>
  <r>
    <n v="552"/>
    <s v="Fa_Reels_2023"/>
    <x v="2"/>
    <s v="Traffic"/>
    <s v="West"/>
    <s v="Mobile"/>
    <s v="45-54"/>
    <x v="11"/>
    <x v="2"/>
    <n v="2023"/>
    <n v="17947.72"/>
    <n v="503783"/>
    <n v="11396"/>
    <n v="435"/>
    <n v="13538.42"/>
    <n v="2.2620850644027293"/>
    <n v="1.1879975429975429"/>
    <n v="31.122804597701151"/>
    <n v="1.3256879310879706"/>
    <s v="🟡 Mid"/>
  </r>
  <r>
    <n v="553"/>
    <s v="Go_Discovery_2023"/>
    <x v="1"/>
    <s v="Brand Awareness"/>
    <s v="West"/>
    <s v="Mobile"/>
    <s v="55+"/>
    <x v="3"/>
    <x v="3"/>
    <n v="2023"/>
    <n v="2824.75"/>
    <n v="418989"/>
    <n v="9460"/>
    <n v="61"/>
    <n v="2792.61"/>
    <n v="2.2578158376472892"/>
    <n v="0.2952019027484144"/>
    <n v="45.780491803278693"/>
    <n v="1.0115089468275198"/>
    <s v="🟡 Mid"/>
  </r>
  <r>
    <n v="554"/>
    <s v="Go_Search_Generic_2024"/>
    <x v="1"/>
    <s v="Conversions"/>
    <s v="South"/>
    <s v="Mobile"/>
    <s v="25-34"/>
    <x v="9"/>
    <x v="3"/>
    <n v="2024"/>
    <n v="2893.86"/>
    <n v="450334"/>
    <n v="14368"/>
    <n v="1447"/>
    <n v="2074.83"/>
    <n v="3.1905208134406906"/>
    <n v="0.14440631959910913"/>
    <n v="1.4338838977194195"/>
    <n v="1.3947455936148987"/>
    <s v="🟢 High"/>
  </r>
  <r>
    <n v="555"/>
    <s v="Di_Programmatic_2024"/>
    <x v="0"/>
    <s v="Retargeting"/>
    <s v="East"/>
    <s v="Mobile"/>
    <s v="55+"/>
    <x v="1"/>
    <x v="1"/>
    <n v="2024"/>
    <n v="10472.58"/>
    <n v="159532"/>
    <n v="1159"/>
    <n v="92"/>
    <n v="8470.7999999999993"/>
    <n v="0.72650001253666974"/>
    <n v="7.3087144089732519"/>
    <n v="92.073913043478257"/>
    <n v="1.2363153421164472"/>
    <s v="🔴 Low"/>
  </r>
  <r>
    <n v="556"/>
    <s v="Di_Native_2024"/>
    <x v="0"/>
    <s v="Brand Awareness"/>
    <s v="North"/>
    <s v="Tablet"/>
    <s v="18-24"/>
    <x v="7"/>
    <x v="0"/>
    <n v="2024"/>
    <n v="13723.1"/>
    <n v="192795"/>
    <n v="891"/>
    <n v="9"/>
    <n v="12148.59"/>
    <n v="0.46214891465027619"/>
    <n v="13.634781144781146"/>
    <n v="1349.8433333333332"/>
    <n v="1.1296043409152832"/>
    <s v="🔴 Low"/>
  </r>
  <r>
    <n v="557"/>
    <s v="Go_YouTube_PreRoll_2024"/>
    <x v="1"/>
    <s v="Traffic"/>
    <s v="Central"/>
    <s v="Desktop"/>
    <s v="18-24"/>
    <x v="3"/>
    <x v="3"/>
    <n v="2024"/>
    <n v="15958.26"/>
    <n v="216740"/>
    <n v="5724"/>
    <n v="143"/>
    <n v="13210.63"/>
    <n v="2.640952293070038"/>
    <n v="2.3079367575122292"/>
    <n v="92.38202797202797"/>
    <n v="1.2079862958844507"/>
    <s v="🟡 Mid"/>
  </r>
  <r>
    <n v="558"/>
    <s v="Di_Banner_Standard_2024"/>
    <x v="0"/>
    <s v="Brand Awareness"/>
    <s v="West"/>
    <s v="Desktop"/>
    <s v="45-54"/>
    <x v="4"/>
    <x v="1"/>
    <n v="2024"/>
    <n v="17131.05"/>
    <n v="469053"/>
    <n v="5933"/>
    <n v="70"/>
    <n v="10515.06"/>
    <n v="1.2648890423896659"/>
    <n v="1.7723006910500589"/>
    <n v="150.21514285714284"/>
    <n v="1.6291918448396872"/>
    <s v="🔴 Low"/>
  </r>
  <r>
    <n v="559"/>
    <s v="Di_Programmatic_2024"/>
    <x v="0"/>
    <s v="Lead Generation"/>
    <s v="West"/>
    <s v="Mobile"/>
    <s v="25-34"/>
    <x v="5"/>
    <x v="2"/>
    <n v="2024"/>
    <n v="10005.370000000001"/>
    <n v="119695"/>
    <n v="206"/>
    <n v="15"/>
    <n v="8269.89"/>
    <n v="0.17210409791553533"/>
    <n v="40.145097087378637"/>
    <n v="551.32599999999991"/>
    <n v="1.2098552701426502"/>
    <s v="🔴 Low"/>
  </r>
  <r>
    <n v="560"/>
    <s v="Fa_Instant_Experience_2024"/>
    <x v="2"/>
    <s v="Traffic"/>
    <s v="South"/>
    <s v="Tablet"/>
    <s v="18-24"/>
    <x v="1"/>
    <x v="1"/>
    <n v="2024"/>
    <n v="10146.48"/>
    <n v="401149"/>
    <n v="5441"/>
    <n v="155"/>
    <n v="7591.2"/>
    <n v="1.356353873498376"/>
    <n v="1.3951847086932549"/>
    <n v="48.975483870967743"/>
    <n v="1.3366108125197598"/>
    <s v="🔴 Low"/>
  </r>
  <r>
    <n v="561"/>
    <s v="Fa_Lead_Form_2024"/>
    <x v="2"/>
    <s v="Brand Awareness"/>
    <s v="North"/>
    <s v="Tablet"/>
    <s v="18-24"/>
    <x v="0"/>
    <x v="0"/>
    <n v="2024"/>
    <n v="7303.1"/>
    <n v="783103"/>
    <n v="6770"/>
    <n v="97"/>
    <n v="5549.19"/>
    <n v="0.86450952173596585"/>
    <n v="0.81967355982274737"/>
    <n v="57.208144329896903"/>
    <n v="1.3160659483636352"/>
    <s v="🔴 Low"/>
  </r>
  <r>
    <n v="562"/>
    <s v="Fa_Lead_Form_2023"/>
    <x v="2"/>
    <s v="Conversions"/>
    <s v="West"/>
    <s v="Mobile"/>
    <s v="18-24"/>
    <x v="3"/>
    <x v="3"/>
    <n v="2023"/>
    <n v="5328.47"/>
    <n v="684564"/>
    <n v="8019"/>
    <n v="576"/>
    <n v="3387.18"/>
    <n v="1.1714025277402844"/>
    <n v="0.42239431350542461"/>
    <n v="5.8805208333333328"/>
    <n v="1.573128679314356"/>
    <s v="🔴 Low"/>
  </r>
  <r>
    <n v="563"/>
    <s v="Di_Rich_Media_2024"/>
    <x v="0"/>
    <s v="Conversions"/>
    <s v="North"/>
    <s v="Mobile"/>
    <s v="25-34"/>
    <x v="8"/>
    <x v="0"/>
    <n v="2024"/>
    <n v="1228.8599999999999"/>
    <n v="694719"/>
    <n v="7804"/>
    <n v="882"/>
    <n v="874.92"/>
    <n v="1.1233318795081177"/>
    <n v="0.11211173757047667"/>
    <n v="0.99197278911564624"/>
    <n v="1.4045398436428473"/>
    <s v="🔴 Low"/>
  </r>
  <r>
    <n v="564"/>
    <s v="Di_Responsive_2024"/>
    <x v="0"/>
    <s v="Traffic"/>
    <s v="North"/>
    <s v="Mobile"/>
    <s v="45-54"/>
    <x v="9"/>
    <x v="3"/>
    <n v="2024"/>
    <n v="6787.22"/>
    <n v="107472"/>
    <n v="225"/>
    <n v="7"/>
    <n v="4357.5600000000004"/>
    <n v="0.20935685573916929"/>
    <n v="19.366933333333336"/>
    <n v="622.50857142857149"/>
    <n v="1.5575735044382635"/>
    <s v="🔴 Low"/>
  </r>
  <r>
    <n v="565"/>
    <s v="Di_Interstitial_2024"/>
    <x v="0"/>
    <s v="Conversions"/>
    <s v="West"/>
    <s v="Tablet"/>
    <s v="35-44"/>
    <x v="0"/>
    <x v="0"/>
    <n v="2024"/>
    <n v="7585.02"/>
    <n v="462169"/>
    <n v="4215"/>
    <n v="498"/>
    <n v="4790.96"/>
    <n v="0.91200405046638777"/>
    <n v="1.1366453143534994"/>
    <n v="9.6204016064257036"/>
    <n v="1.5831941823768096"/>
    <s v="🔴 Low"/>
  </r>
  <r>
    <n v="566"/>
    <s v="Di_Interstitial_2024"/>
    <x v="0"/>
    <s v="Conversions"/>
    <s v="East"/>
    <s v="Desktop"/>
    <s v="35-44"/>
    <x v="9"/>
    <x v="3"/>
    <n v="2024"/>
    <n v="16189.76"/>
    <n v="659911"/>
    <n v="9093"/>
    <n v="927"/>
    <n v="10339.14"/>
    <n v="1.3779130822186629"/>
    <n v="1.1370438799076212"/>
    <n v="11.153333333333332"/>
    <n v="1.5658710492362036"/>
    <s v="🔴 Low"/>
  </r>
  <r>
    <n v="567"/>
    <s v="Di_Rich_Media_2024"/>
    <x v="0"/>
    <s v="Traffic"/>
    <s v="East"/>
    <s v="Mobile"/>
    <s v="18-24"/>
    <x v="9"/>
    <x v="3"/>
    <n v="2024"/>
    <n v="8828.56"/>
    <n v="369187"/>
    <n v="3342"/>
    <n v="63"/>
    <n v="8278.83"/>
    <n v="0.90523230774648078"/>
    <n v="2.4772082585278277"/>
    <n v="131.41"/>
    <n v="1.0664018949537555"/>
    <s v="🔴 Low"/>
  </r>
  <r>
    <n v="568"/>
    <s v="Fa_Lead_Form_2024"/>
    <x v="2"/>
    <s v="Lead Generation"/>
    <s v="West"/>
    <s v="Mobile"/>
    <s v="35-44"/>
    <x v="9"/>
    <x v="3"/>
    <n v="2024"/>
    <n v="13595.42"/>
    <n v="579160"/>
    <n v="5233"/>
    <n v="266"/>
    <n v="8263.48"/>
    <n v="0.90354996892050543"/>
    <n v="1.5791094974202178"/>
    <n v="31.065714285714286"/>
    <n v="1.6452414721158641"/>
    <s v="🔴 Low"/>
  </r>
  <r>
    <n v="569"/>
    <s v="Di_Native_2024"/>
    <x v="0"/>
    <s v="Traffic"/>
    <s v="West"/>
    <s v="Desktop"/>
    <s v="45-54"/>
    <x v="5"/>
    <x v="2"/>
    <n v="2024"/>
    <n v="18725.400000000001"/>
    <n v="766911"/>
    <n v="2109"/>
    <n v="44"/>
    <n v="12397.2"/>
    <n v="0.274999315435559"/>
    <n v="5.8782361308677098"/>
    <n v="281.75454545454545"/>
    <n v="1.5104539734778821"/>
    <s v="🔴 Low"/>
  </r>
  <r>
    <n v="570"/>
    <s v="Go_YouTube_PreRoll_2023"/>
    <x v="1"/>
    <s v="Retargeting"/>
    <s v="West"/>
    <s v="Mobile"/>
    <s v="18-24"/>
    <x v="3"/>
    <x v="3"/>
    <n v="2023"/>
    <n v="16996.36"/>
    <n v="284901"/>
    <n v="6739"/>
    <n v="848"/>
    <n v="14809.57"/>
    <n v="2.3653830628885122"/>
    <n v="2.1975916308057575"/>
    <n v="17.464115566037737"/>
    <n v="1.1476606005441077"/>
    <s v="🟡 Mid"/>
  </r>
  <r>
    <n v="571"/>
    <s v="Fa_Reels_2023"/>
    <x v="2"/>
    <s v="Retargeting"/>
    <s v="South"/>
    <s v="Desktop"/>
    <s v="25-34"/>
    <x v="11"/>
    <x v="2"/>
    <n v="2023"/>
    <n v="5288.94"/>
    <n v="330625"/>
    <n v="3225"/>
    <n v="306"/>
    <n v="4610.41"/>
    <n v="0.97542533081285443"/>
    <n v="1.4295844961240309"/>
    <n v="15.066699346405228"/>
    <n v="1.1471734617962392"/>
    <s v="🔴 Low"/>
  </r>
  <r>
    <n v="572"/>
    <s v="Go_PMax_2024"/>
    <x v="1"/>
    <s v="Lead Generation"/>
    <s v="East"/>
    <s v="Desktop"/>
    <s v="18-24"/>
    <x v="5"/>
    <x v="2"/>
    <n v="2024"/>
    <n v="13344.08"/>
    <n v="189533"/>
    <n v="5578"/>
    <n v="438"/>
    <n v="8243.14"/>
    <n v="2.9430231147082564"/>
    <n v="1.4777949085693796"/>
    <n v="18.819954337899542"/>
    <n v="1.6188103077225426"/>
    <s v="🟡 Mid"/>
  </r>
  <r>
    <n v="573"/>
    <s v="Di_Responsive_2024"/>
    <x v="0"/>
    <s v="Brand Awareness"/>
    <s v="North"/>
    <s v="Desktop"/>
    <s v="35-44"/>
    <x v="9"/>
    <x v="3"/>
    <n v="2024"/>
    <n v="17409.849999999999"/>
    <n v="431777"/>
    <n v="5590"/>
    <n v="102"/>
    <n v="13348.06"/>
    <n v="1.2946497844952372"/>
    <n v="2.3878461538461537"/>
    <n v="130.86333333333332"/>
    <n v="1.3042981526903534"/>
    <s v="🔴 Low"/>
  </r>
  <r>
    <n v="574"/>
    <s v="Di_Native_2024"/>
    <x v="0"/>
    <s v="Lead Generation"/>
    <s v="North"/>
    <s v="Tablet"/>
    <s v="55+"/>
    <x v="7"/>
    <x v="0"/>
    <n v="2024"/>
    <n v="10180.799999999999"/>
    <n v="99632"/>
    <n v="248"/>
    <n v="13"/>
    <n v="6631.33"/>
    <n v="0.24891601092018625"/>
    <n v="26.739233870967741"/>
    <n v="510.1023076923077"/>
    <n v="1.5352576330841625"/>
    <s v="🔴 Low"/>
  </r>
  <r>
    <n v="575"/>
    <s v="Fa_Lead_Form_2023"/>
    <x v="2"/>
    <s v="Traffic"/>
    <s v="West"/>
    <s v="Tablet"/>
    <s v="25-34"/>
    <x v="1"/>
    <x v="1"/>
    <n v="2023"/>
    <n v="3313.42"/>
    <n v="188662"/>
    <n v="3187"/>
    <n v="70"/>
    <n v="3188.89"/>
    <n v="1.6892643987660474"/>
    <n v="1.0005930342014433"/>
    <n v="45.555571428571426"/>
    <n v="1.0390512059055033"/>
    <s v="🟡 Mid"/>
  </r>
  <r>
    <n v="576"/>
    <s v="Go_Discovery_2024"/>
    <x v="1"/>
    <s v="Traffic"/>
    <s v="East"/>
    <s v="Tablet"/>
    <s v="18-24"/>
    <x v="2"/>
    <x v="2"/>
    <n v="2024"/>
    <n v="9759.66"/>
    <n v="263313"/>
    <n v="8400"/>
    <n v="326"/>
    <n v="9460.64"/>
    <n v="3.1901197434232262"/>
    <n v="1.1262666666666665"/>
    <n v="29.020368098159508"/>
    <n v="1.0316067411929848"/>
    <s v="🟢 High"/>
  </r>
  <r>
    <n v="577"/>
    <s v="Go_Search_Competitor_2023"/>
    <x v="1"/>
    <s v="Retargeting"/>
    <s v="East"/>
    <s v="Mobile"/>
    <s v="18-24"/>
    <x v="3"/>
    <x v="3"/>
    <n v="2023"/>
    <n v="16908.72"/>
    <n v="699391"/>
    <n v="19937"/>
    <n v="2659"/>
    <n v="14914.7"/>
    <n v="2.8506228990650437"/>
    <n v="0.74809148818779159"/>
    <n v="5.6091387739751788"/>
    <n v="1.1336949452553522"/>
    <s v="🟡 Mid"/>
  </r>
  <r>
    <n v="578"/>
    <s v="Fa_Messenger_2023"/>
    <x v="2"/>
    <s v="Conversions"/>
    <s v="East"/>
    <s v="Tablet"/>
    <s v="18-24"/>
    <x v="10"/>
    <x v="1"/>
    <n v="2023"/>
    <n v="17224.12"/>
    <n v="412341"/>
    <n v="5938"/>
    <n v="300"/>
    <n v="17284.650000000001"/>
    <n v="1.4400702331322861"/>
    <n v="2.9108538228359722"/>
    <n v="57.615500000000004"/>
    <n v="0.99649804884680904"/>
    <s v="🔴 Low"/>
  </r>
  <r>
    <n v="579"/>
    <s v="Fa_Stories_2024"/>
    <x v="2"/>
    <s v="Brand Awareness"/>
    <s v="South"/>
    <s v="Mobile"/>
    <s v="25-34"/>
    <x v="0"/>
    <x v="0"/>
    <n v="2024"/>
    <n v="12811.38"/>
    <n v="680733"/>
    <n v="10148"/>
    <n v="182"/>
    <n v="12116.27"/>
    <n v="1.490746004674373"/>
    <n v="1.1939564446196296"/>
    <n v="66.572912087912087"/>
    <n v="1.0573699661694564"/>
    <s v="🔴 Low"/>
  </r>
  <r>
    <n v="580"/>
    <s v="Fa_Instant_Experience_2023"/>
    <x v="2"/>
    <s v="Retargeting"/>
    <s v="East"/>
    <s v="Tablet"/>
    <s v="45-54"/>
    <x v="7"/>
    <x v="0"/>
    <n v="2023"/>
    <n v="14120.4"/>
    <n v="535930"/>
    <n v="8965"/>
    <n v="585"/>
    <n v="10968.24"/>
    <n v="1.6727930886496372"/>
    <n v="1.2234511991076409"/>
    <n v="18.749128205128205"/>
    <n v="1.2873897726526771"/>
    <s v="🟡 Mid"/>
  </r>
  <r>
    <n v="581"/>
    <s v="Di_Retargeting_Display_2024"/>
    <x v="0"/>
    <s v="Retargeting"/>
    <s v="North"/>
    <s v="Desktop"/>
    <s v="25-34"/>
    <x v="3"/>
    <x v="3"/>
    <n v="2024"/>
    <n v="15924.88"/>
    <n v="147703"/>
    <n v="1527"/>
    <n v="128"/>
    <n v="13406.2"/>
    <n v="1.033831404913915"/>
    <n v="8.7794368041912243"/>
    <n v="104.73593750000001"/>
    <n v="1.1878742671301337"/>
    <s v="🔴 Low"/>
  </r>
  <r>
    <n v="582"/>
    <s v="Go_Shopping_2024"/>
    <x v="1"/>
    <s v="Lead Generation"/>
    <s v="Central"/>
    <s v="Tablet"/>
    <s v="25-34"/>
    <x v="9"/>
    <x v="3"/>
    <n v="2024"/>
    <n v="15956.52"/>
    <n v="339914"/>
    <n v="9539"/>
    <n v="639"/>
    <n v="15427.92"/>
    <n v="2.8062980636278585"/>
    <n v="1.6173519236817278"/>
    <n v="24.143849765258217"/>
    <n v="1.0342625577524385"/>
    <s v="🟡 Mid"/>
  </r>
  <r>
    <n v="583"/>
    <s v="Go_YouTube_PreRoll_2023"/>
    <x v="1"/>
    <s v="Lead Generation"/>
    <s v="Central"/>
    <s v="Mobile"/>
    <s v="35-44"/>
    <x v="11"/>
    <x v="2"/>
    <n v="2023"/>
    <n v="8582.68"/>
    <n v="195724"/>
    <n v="4733"/>
    <n v="426"/>
    <n v="7205.71"/>
    <n v="2.4182011403813535"/>
    <n v="1.5224403126980774"/>
    <n v="16.914812206572769"/>
    <n v="1.1910942849490196"/>
    <s v="🟡 Mid"/>
  </r>
  <r>
    <n v="584"/>
    <s v="Go_Search_Brand_2024"/>
    <x v="1"/>
    <s v="Traffic"/>
    <s v="Central"/>
    <s v="Tablet"/>
    <s v="25-34"/>
    <x v="7"/>
    <x v="0"/>
    <n v="2024"/>
    <n v="4366.1899999999996"/>
    <n v="740325"/>
    <n v="22964"/>
    <n v="816"/>
    <n v="2711.01"/>
    <n v="3.1018809306723396"/>
    <n v="0.11805478139696918"/>
    <n v="3.3223161764705886"/>
    <n v="1.6105399832534735"/>
    <s v="🟢 High"/>
  </r>
  <r>
    <n v="585"/>
    <s v="Di_Video_Display_2023"/>
    <x v="0"/>
    <s v="Traffic"/>
    <s v="East"/>
    <s v="Desktop"/>
    <s v="18-24"/>
    <x v="2"/>
    <x v="2"/>
    <n v="2023"/>
    <n v="18971.25"/>
    <n v="128050"/>
    <n v="1675"/>
    <n v="55"/>
    <n v="18779.25"/>
    <n v="1.3080827801639985"/>
    <n v="11.211492537313433"/>
    <n v="341.44090909090909"/>
    <n v="1.0102240504812492"/>
    <s v="🔴 Low"/>
  </r>
  <r>
    <n v="586"/>
    <s v="Di_Responsive_2024"/>
    <x v="0"/>
    <s v="Brand Awareness"/>
    <s v="South"/>
    <s v="Tablet"/>
    <s v="25-34"/>
    <x v="11"/>
    <x v="2"/>
    <n v="2024"/>
    <n v="6115.26"/>
    <n v="523172"/>
    <n v="3945"/>
    <n v="42"/>
    <n v="4776.93"/>
    <n v="0.75405411604596573"/>
    <n v="1.2108821292775667"/>
    <n v="113.73642857142858"/>
    <n v="1.2801652944464332"/>
    <s v="🔴 Low"/>
  </r>
  <r>
    <n v="587"/>
    <s v="Go_PMax_2023"/>
    <x v="1"/>
    <s v="Conversions"/>
    <s v="South"/>
    <s v="Mobile"/>
    <s v="25-34"/>
    <x v="1"/>
    <x v="1"/>
    <n v="2023"/>
    <n v="1061.08"/>
    <n v="279516"/>
    <n v="7965"/>
    <n v="536"/>
    <n v="896.42"/>
    <n v="2.8495685399046922"/>
    <n v="0.11254488386691776"/>
    <n v="1.6724253731343284"/>
    <n v="1.1836862185136432"/>
    <s v="🟡 Mid"/>
  </r>
  <r>
    <n v="588"/>
    <s v="Di_Responsive_2024"/>
    <x v="0"/>
    <s v="Brand Awareness"/>
    <s v="North"/>
    <s v="Mobile"/>
    <s v="25-34"/>
    <x v="2"/>
    <x v="2"/>
    <n v="2024"/>
    <n v="13893.62"/>
    <n v="752986"/>
    <n v="9376"/>
    <n v="100"/>
    <n v="10806.21"/>
    <n v="1.245175873123803"/>
    <n v="1.1525394624573377"/>
    <n v="108.06209999999999"/>
    <n v="1.2857070147628078"/>
    <s v="🔴 Low"/>
  </r>
  <r>
    <n v="589"/>
    <s v="Di_Programmatic_2024"/>
    <x v="0"/>
    <s v="Brand Awareness"/>
    <s v="North"/>
    <s v="Tablet"/>
    <s v="18-24"/>
    <x v="8"/>
    <x v="0"/>
    <n v="2024"/>
    <n v="18655.759999999998"/>
    <n v="498808"/>
    <n v="10566"/>
    <n v="201"/>
    <n v="18771.95"/>
    <n v="2.1182499077801475"/>
    <n v="1.7766373272761689"/>
    <n v="93.392786069651748"/>
    <n v="0.99381044590466083"/>
    <s v="🟡 Mid"/>
  </r>
  <r>
    <n v="590"/>
    <s v="Di_Banner_Standard_2024"/>
    <x v="0"/>
    <s v="Brand Awareness"/>
    <s v="East"/>
    <s v="Tablet"/>
    <s v="55+"/>
    <x v="1"/>
    <x v="1"/>
    <n v="2024"/>
    <n v="19561.72"/>
    <n v="708869"/>
    <n v="354"/>
    <n v="3"/>
    <n v="19690.52"/>
    <n v="4.9938705176838037E-2"/>
    <n v="55.622937853107345"/>
    <n v="6563.5066666666671"/>
    <n v="0.99345878117997899"/>
    <s v="🔴 Low"/>
  </r>
  <r>
    <n v="591"/>
    <s v="Di_Banner_Standard_2024"/>
    <x v="0"/>
    <s v="Traffic"/>
    <s v="South"/>
    <s v="Mobile"/>
    <s v="25-34"/>
    <x v="10"/>
    <x v="1"/>
    <n v="2024"/>
    <n v="18641.38"/>
    <n v="495822"/>
    <n v="4934"/>
    <n v="127"/>
    <n v="12295"/>
    <n v="0.9951151824646749"/>
    <n v="2.4918929874341305"/>
    <n v="96.811023622047244"/>
    <n v="1.5161756811712079"/>
    <s v="🔴 Low"/>
  </r>
  <r>
    <n v="592"/>
    <s v="Go_Search_Competitor_2024"/>
    <x v="1"/>
    <s v="Brand Awareness"/>
    <s v="South"/>
    <s v="Mobile"/>
    <s v="35-44"/>
    <x v="6"/>
    <x v="3"/>
    <n v="2024"/>
    <n v="18561.62"/>
    <n v="301668"/>
    <n v="9418"/>
    <n v="174"/>
    <n v="13188.98"/>
    <n v="3.1219751514910432"/>
    <n v="1.4004013590995965"/>
    <n v="75.798735632183906"/>
    <n v="1.4073582642478797"/>
    <s v="🟢 High"/>
  </r>
  <r>
    <n v="593"/>
    <s v="Fa_Lead_Form_2024"/>
    <x v="2"/>
    <s v="Retargeting"/>
    <s v="South"/>
    <s v="Mobile"/>
    <s v="45-54"/>
    <x v="0"/>
    <x v="0"/>
    <n v="2024"/>
    <n v="1537.83"/>
    <n v="160840"/>
    <n v="3055"/>
    <n v="298"/>
    <n v="1028.3399999999999"/>
    <n v="1.8994031335488684"/>
    <n v="0.33660883797054009"/>
    <n v="3.4508053691275165"/>
    <n v="1.4954489760196044"/>
    <s v="🟡 Mid"/>
  </r>
  <r>
    <n v="594"/>
    <s v="Fa_Messenger_2024"/>
    <x v="2"/>
    <s v="Brand Awareness"/>
    <s v="West"/>
    <s v="Desktop"/>
    <s v="45-54"/>
    <x v="2"/>
    <x v="2"/>
    <n v="2024"/>
    <n v="9426.31"/>
    <n v="122955"/>
    <n v="2098"/>
    <n v="37"/>
    <n v="9087.7999999999993"/>
    <n v="1.7063153186125006"/>
    <n v="4.3316491897044802"/>
    <n v="245.6162162162162"/>
    <n v="1.0372488391029733"/>
    <s v="🟡 Mid"/>
  </r>
  <r>
    <n v="595"/>
    <s v="Go_Search_Competitor_2024"/>
    <x v="1"/>
    <s v="Brand Awareness"/>
    <s v="South"/>
    <s v="Mobile"/>
    <s v="25-34"/>
    <x v="0"/>
    <x v="0"/>
    <n v="2024"/>
    <n v="11483.32"/>
    <n v="700350"/>
    <n v="15630"/>
    <n v="305"/>
    <n v="9426.9599999999991"/>
    <n v="2.2317412722210324"/>
    <n v="0.6031324376199616"/>
    <n v="30.908065573770489"/>
    <n v="1.2181360693160892"/>
    <s v="🟡 Mid"/>
  </r>
  <r>
    <n v="596"/>
    <s v="Di_Native_2023"/>
    <x v="0"/>
    <s v="Retargeting"/>
    <s v="North"/>
    <s v="Desktop"/>
    <s v="45-54"/>
    <x v="3"/>
    <x v="3"/>
    <n v="2023"/>
    <n v="17803.669999999998"/>
    <n v="32223"/>
    <n v="116"/>
    <n v="9"/>
    <n v="18020.169999999998"/>
    <n v="0.35999131055457279"/>
    <n v="155.34629310344826"/>
    <n v="2002.241111111111"/>
    <n v="0.98798568492972039"/>
    <s v="🔴 Low"/>
  </r>
  <r>
    <n v="597"/>
    <s v="Go_Smart_Campaign_2023"/>
    <x v="1"/>
    <s v="Conversions"/>
    <s v="Central"/>
    <s v="Desktop"/>
    <s v="35-44"/>
    <x v="0"/>
    <x v="0"/>
    <n v="2023"/>
    <n v="2080.73"/>
    <n v="747084"/>
    <n v="18706"/>
    <n v="2186"/>
    <n v="1767.72"/>
    <n v="2.5038683735697727"/>
    <n v="9.450016037634984E-2"/>
    <n v="0.80865507776761214"/>
    <n v="1.1770698979476388"/>
    <s v="🟡 Mid"/>
  </r>
  <r>
    <n v="598"/>
    <s v="Go_Search_Competitor_2023"/>
    <x v="1"/>
    <s v="Brand Awareness"/>
    <s v="Central"/>
    <s v="Mobile"/>
    <s v="35-44"/>
    <x v="6"/>
    <x v="3"/>
    <n v="2023"/>
    <n v="4621.6499999999996"/>
    <n v="56047"/>
    <n v="1309"/>
    <n v="22"/>
    <n v="3322.23"/>
    <n v="2.335539814798294"/>
    <n v="2.5379908326967149"/>
    <n v="151.01045454545454"/>
    <n v="1.3911288502000161"/>
    <s v="🟡 Mid"/>
  </r>
  <r>
    <n v="599"/>
    <s v="Go_Search_Generic_2024"/>
    <x v="1"/>
    <s v="Traffic"/>
    <s v="Central"/>
    <s v="Mobile"/>
    <s v="18-24"/>
    <x v="1"/>
    <x v="1"/>
    <n v="2024"/>
    <n v="3971.21"/>
    <n v="423295"/>
    <n v="15358"/>
    <n v="228"/>
    <n v="3682.85"/>
    <n v="3.6282025537745546"/>
    <n v="0.23980010418023179"/>
    <n v="16.152850877192982"/>
    <n v="1.0782980572111274"/>
    <s v="🟢 High"/>
  </r>
  <r>
    <n v="600"/>
    <s v="Fa_Carousel_2024"/>
    <x v="2"/>
    <s v="Brand Awareness"/>
    <s v="East"/>
    <s v="Mobile"/>
    <s v="45-54"/>
    <x v="6"/>
    <x v="3"/>
    <n v="2024"/>
    <n v="18122.82"/>
    <n v="637829"/>
    <n v="13520"/>
    <n v="94"/>
    <n v="15939.36"/>
    <n v="2.1196903872354502"/>
    <n v="1.1789467455621303"/>
    <n v="169.56765957446808"/>
    <n v="1.1369854247598397"/>
    <s v="🟡 Mid"/>
  </r>
  <r>
    <n v="601"/>
    <s v="Fa_Reels_2024"/>
    <x v="2"/>
    <s v="Retargeting"/>
    <s v="West"/>
    <s v="Mobile"/>
    <s v="45-54"/>
    <x v="5"/>
    <x v="2"/>
    <n v="2024"/>
    <n v="2259.34"/>
    <n v="448061"/>
    <n v="8324"/>
    <n v="788"/>
    <n v="1759.86"/>
    <n v="1.8577827572584984"/>
    <n v="0.21141999038923592"/>
    <n v="2.2333248730964468"/>
    <n v="1.2838180309797371"/>
    <s v="🟡 Mid"/>
  </r>
  <r>
    <n v="602"/>
    <s v="Go_Search_Competitor_2023"/>
    <x v="1"/>
    <s v="Retargeting"/>
    <s v="South"/>
    <s v="Tablet"/>
    <s v="25-34"/>
    <x v="4"/>
    <x v="1"/>
    <n v="2023"/>
    <n v="6168.71"/>
    <n v="463600"/>
    <n v="10014"/>
    <n v="664"/>
    <n v="5777.91"/>
    <n v="2.160051768766178"/>
    <n v="0.57698322348711806"/>
    <n v="8.7016716867469874"/>
    <n v="1.0676369136937058"/>
    <s v="🟡 Mid"/>
  </r>
  <r>
    <n v="603"/>
    <s v="Fa_Carousel_2024"/>
    <x v="2"/>
    <s v="Lead Generation"/>
    <s v="East"/>
    <s v="Desktop"/>
    <s v="55+"/>
    <x v="1"/>
    <x v="1"/>
    <n v="2024"/>
    <n v="11586.45"/>
    <n v="582759"/>
    <n v="10108"/>
    <n v="469"/>
    <n v="9019.6299999999992"/>
    <n v="1.7345077467701056"/>
    <n v="0.89232588049070038"/>
    <n v="19.231620469083154"/>
    <n v="1.2845815183106182"/>
    <s v="🟡 Mid"/>
  </r>
  <r>
    <n v="604"/>
    <s v="Go_Discovery_2023"/>
    <x v="1"/>
    <s v="Traffic"/>
    <s v="East"/>
    <s v="Mobile"/>
    <s v="35-44"/>
    <x v="9"/>
    <x v="3"/>
    <n v="2023"/>
    <n v="15488.61"/>
    <n v="22058"/>
    <n v="633"/>
    <n v="8"/>
    <n v="13596.88"/>
    <n v="2.8697071357330675"/>
    <n v="21.480063191153238"/>
    <n v="1699.61"/>
    <n v="1.1391297121104254"/>
    <s v="🟡 Mid"/>
  </r>
  <r>
    <n v="605"/>
    <s v="Go_Shopping_2024"/>
    <x v="1"/>
    <s v="Retargeting"/>
    <s v="North"/>
    <s v="Desktop"/>
    <s v="45-54"/>
    <x v="6"/>
    <x v="3"/>
    <n v="2024"/>
    <n v="6621.95"/>
    <n v="764268"/>
    <n v="15933"/>
    <n v="1751"/>
    <n v="4710.3999999999996"/>
    <n v="2.0847399079903908"/>
    <n v="0.29563798405824387"/>
    <n v="2.6901199314677324"/>
    <n v="1.4058147927989131"/>
    <s v="🟡 Mid"/>
  </r>
  <r>
    <n v="606"/>
    <s v="Go_PMax_2023"/>
    <x v="1"/>
    <s v="Lead Generation"/>
    <s v="North"/>
    <s v="Tablet"/>
    <s v="55+"/>
    <x v="5"/>
    <x v="2"/>
    <n v="2023"/>
    <n v="8959.08"/>
    <n v="23785"/>
    <n v="715"/>
    <n v="28"/>
    <n v="5814.49"/>
    <n v="3.0060962791675427"/>
    <n v="8.1321538461538463"/>
    <n v="207.66035714285712"/>
    <n v="1.540819573169788"/>
    <s v="🟢 High"/>
  </r>
  <r>
    <n v="607"/>
    <s v="Go_Discovery_2024"/>
    <x v="1"/>
    <s v="Retargeting"/>
    <s v="West"/>
    <s v="Tablet"/>
    <s v="55+"/>
    <x v="6"/>
    <x v="3"/>
    <n v="2024"/>
    <n v="6404.6"/>
    <n v="651703"/>
    <n v="15121"/>
    <n v="1742"/>
    <n v="4905.28"/>
    <n v="2.3202286931316873"/>
    <n v="0.32440182527610606"/>
    <n v="2.8158897818599309"/>
    <n v="1.3056543153499904"/>
    <s v="🟡 Mid"/>
  </r>
  <r>
    <n v="608"/>
    <s v="Fa_Feed_Video_2023"/>
    <x v="2"/>
    <s v="Lead Generation"/>
    <s v="South"/>
    <s v="Desktop"/>
    <s v="25-34"/>
    <x v="7"/>
    <x v="0"/>
    <n v="2023"/>
    <n v="14072.63"/>
    <n v="202364"/>
    <n v="4400"/>
    <n v="402"/>
    <n v="9680.23"/>
    <n v="2.1742997766401135"/>
    <n v="2.2000522727272727"/>
    <n v="24.080174129353232"/>
    <n v="1.4537495493392203"/>
    <s v="🟡 Mid"/>
  </r>
  <r>
    <n v="609"/>
    <s v="Di_Native_2023"/>
    <x v="0"/>
    <s v="Lead Generation"/>
    <s v="West"/>
    <s v="Tablet"/>
    <s v="55+"/>
    <x v="11"/>
    <x v="2"/>
    <n v="2023"/>
    <n v="6367.9"/>
    <n v="490936"/>
    <n v="4970"/>
    <n v="233"/>
    <n v="6234.27"/>
    <n v="1.0123519155246306"/>
    <n v="1.254380281690141"/>
    <n v="26.756523605150218"/>
    <n v="1.0214347469711769"/>
    <s v="🔴 Low"/>
  </r>
  <r>
    <n v="610"/>
    <s v="Di_Responsive_2023"/>
    <x v="0"/>
    <s v="Retargeting"/>
    <s v="West"/>
    <s v="Desktop"/>
    <s v="45-54"/>
    <x v="9"/>
    <x v="3"/>
    <n v="2023"/>
    <n v="4426.1000000000004"/>
    <n v="602091"/>
    <n v="6742"/>
    <n v="851"/>
    <n v="3383.88"/>
    <n v="1.1197642881225596"/>
    <n v="0.50191041234055178"/>
    <n v="3.9763572267920093"/>
    <n v="1.3079955553979457"/>
    <s v="🔴 Low"/>
  </r>
  <r>
    <n v="611"/>
    <s v="Fa_Feed_Image_2024"/>
    <x v="2"/>
    <s v="Brand Awareness"/>
    <s v="West"/>
    <s v="Mobile"/>
    <s v="45-54"/>
    <x v="6"/>
    <x v="3"/>
    <n v="2024"/>
    <n v="1221.8399999999999"/>
    <n v="424095"/>
    <n v="3960"/>
    <n v="56"/>
    <n v="1081.3800000000001"/>
    <n v="0.93375305061365965"/>
    <n v="0.27307575757575758"/>
    <n v="19.310357142857146"/>
    <n v="1.1298895855296009"/>
    <s v="🔴 Low"/>
  </r>
  <r>
    <n v="612"/>
    <s v="Fa_Reels_2024"/>
    <x v="2"/>
    <s v="Brand Awareness"/>
    <s v="Central"/>
    <s v="Desktop"/>
    <s v="45-54"/>
    <x v="9"/>
    <x v="3"/>
    <n v="2024"/>
    <n v="11288.49"/>
    <n v="285859"/>
    <n v="4740"/>
    <n v="87"/>
    <n v="8750.81"/>
    <n v="1.6581601418881338"/>
    <n v="1.8461624472573839"/>
    <n v="100.58402298850574"/>
    <n v="1.2899937262950516"/>
    <s v="🟡 Mid"/>
  </r>
  <r>
    <n v="613"/>
    <s v="Fa_Feed_Video_2024"/>
    <x v="2"/>
    <s v="Retargeting"/>
    <s v="Central"/>
    <s v="Tablet"/>
    <s v="35-44"/>
    <x v="4"/>
    <x v="1"/>
    <n v="2024"/>
    <n v="905.74"/>
    <n v="307001"/>
    <n v="4654"/>
    <n v="442"/>
    <n v="736.55"/>
    <n v="1.515955974084775"/>
    <n v="0.15826171035668241"/>
    <n v="1.6664027149321265"/>
    <n v="1.2297060620460254"/>
    <s v="🟡 Mid"/>
  </r>
  <r>
    <n v="614"/>
    <s v="Di_Retargeting_Display_2024"/>
    <x v="0"/>
    <s v="Traffic"/>
    <s v="West"/>
    <s v="Desktop"/>
    <s v="35-44"/>
    <x v="6"/>
    <x v="3"/>
    <n v="2024"/>
    <n v="19216.169999999998"/>
    <n v="710804"/>
    <n v="1019"/>
    <n v="30"/>
    <n v="14437.25"/>
    <n v="0.14335878807660057"/>
    <n v="14.168056918547595"/>
    <n v="481.24166666666667"/>
    <n v="1.331013177717363"/>
    <s v="🔴 Low"/>
  </r>
  <r>
    <n v="615"/>
    <s v="Fa_Carousel_2024"/>
    <x v="2"/>
    <s v="Traffic"/>
    <s v="South"/>
    <s v="Mobile"/>
    <s v="18-24"/>
    <x v="3"/>
    <x v="3"/>
    <n v="2024"/>
    <n v="3017.38"/>
    <n v="214174"/>
    <n v="4118"/>
    <n v="139"/>
    <n v="3005.56"/>
    <n v="1.922735719555128"/>
    <n v="0.72985915492957743"/>
    <n v="21.62273381294964"/>
    <n v="1.0039327113749186"/>
    <s v="🟡 Mid"/>
  </r>
  <r>
    <n v="616"/>
    <s v="Fa_Stories_2024"/>
    <x v="2"/>
    <s v="Lead Generation"/>
    <s v="South"/>
    <s v="Tablet"/>
    <s v="18-24"/>
    <x v="8"/>
    <x v="0"/>
    <n v="2024"/>
    <n v="17677.669999999998"/>
    <n v="379387"/>
    <n v="7906"/>
    <n v="637"/>
    <n v="11903.79"/>
    <n v="2.0838879560975996"/>
    <n v="1.5056653174803947"/>
    <n v="18.687268445839877"/>
    <n v="1.4850455191161804"/>
    <s v="🟡 Mid"/>
  </r>
  <r>
    <n v="617"/>
    <s v="Di_Banner_Standard_2023"/>
    <x v="0"/>
    <s v="Brand Awareness"/>
    <s v="East"/>
    <s v="Mobile"/>
    <s v="18-24"/>
    <x v="9"/>
    <x v="3"/>
    <n v="2023"/>
    <n v="2853.42"/>
    <n v="239981"/>
    <n v="119"/>
    <n v="1"/>
    <n v="2634.1"/>
    <n v="4.9587258991336813E-2"/>
    <n v="22.135294117647057"/>
    <n v="2634.1"/>
    <n v="1.083261835161915"/>
    <s v="🔴 Low"/>
  </r>
  <r>
    <n v="618"/>
    <s v="Di_Programmatic_2023"/>
    <x v="0"/>
    <s v="Lead Generation"/>
    <s v="Central"/>
    <s v="Tablet"/>
    <s v="18-24"/>
    <x v="6"/>
    <x v="3"/>
    <n v="2023"/>
    <n v="18569.330000000002"/>
    <n v="464094"/>
    <n v="3880"/>
    <n v="341"/>
    <n v="18649.400000000001"/>
    <n v="0.83603752688033017"/>
    <n v="4.8065463917525779"/>
    <n v="54.690322580645166"/>
    <n v="0.99570656428625048"/>
    <s v="🔴 Low"/>
  </r>
  <r>
    <n v="619"/>
    <s v="Go_Search_Generic_2023"/>
    <x v="1"/>
    <s v="Traffic"/>
    <s v="Central"/>
    <s v="Desktop"/>
    <s v="55+"/>
    <x v="8"/>
    <x v="0"/>
    <n v="2023"/>
    <n v="3757.4"/>
    <n v="128794"/>
    <n v="4581"/>
    <n v="67"/>
    <n v="2715.44"/>
    <n v="3.5568427100641333"/>
    <n v="0.59276140580659242"/>
    <n v="40.528955223880601"/>
    <n v="1.3837168193736558"/>
    <s v="🟢 High"/>
  </r>
  <r>
    <n v="620"/>
    <s v="Fa_Instant_Experience_2023"/>
    <x v="2"/>
    <s v="Brand Awareness"/>
    <s v="South"/>
    <s v="Tablet"/>
    <s v="35-44"/>
    <x v="2"/>
    <x v="2"/>
    <n v="2023"/>
    <n v="2898.18"/>
    <n v="216697"/>
    <n v="1738"/>
    <n v="20"/>
    <n v="2244.9699999999998"/>
    <n v="0.80204156033539908"/>
    <n v="1.2916973532796316"/>
    <n v="112.24849999999999"/>
    <n v="1.2909660262720661"/>
    <s v="🔴 Low"/>
  </r>
  <r>
    <n v="621"/>
    <s v="Go_PMax_2023"/>
    <x v="1"/>
    <s v="Retargeting"/>
    <s v="East"/>
    <s v="Mobile"/>
    <s v="55+"/>
    <x v="0"/>
    <x v="0"/>
    <n v="2023"/>
    <n v="5687.3"/>
    <n v="754941"/>
    <n v="21247"/>
    <n v="2405"/>
    <n v="3774.53"/>
    <n v="2.814392118059557"/>
    <n v="0.17765002117946063"/>
    <n v="1.5694511434511436"/>
    <n v="1.5067571326761213"/>
    <s v="🟡 Mid"/>
  </r>
  <r>
    <n v="622"/>
    <s v="Di_Video_Display_2024"/>
    <x v="0"/>
    <s v="Lead Generation"/>
    <s v="South"/>
    <s v="Mobile"/>
    <s v="45-54"/>
    <x v="1"/>
    <x v="1"/>
    <n v="2024"/>
    <n v="19060.89"/>
    <n v="546228"/>
    <n v="1241"/>
    <n v="108"/>
    <n v="14332.75"/>
    <n v="0.22719450485877693"/>
    <n v="11.549355358581789"/>
    <n v="132.71064814814815"/>
    <n v="1.3298836580558511"/>
    <s v="🔴 Low"/>
  </r>
  <r>
    <n v="623"/>
    <s v="Go_Discovery_2023"/>
    <x v="1"/>
    <s v="Lead Generation"/>
    <s v="North"/>
    <s v="Tablet"/>
    <s v="55+"/>
    <x v="7"/>
    <x v="0"/>
    <n v="2023"/>
    <n v="7096.92"/>
    <n v="426161"/>
    <n v="13201"/>
    <n v="576"/>
    <n v="6521.08"/>
    <n v="3.0976555808720176"/>
    <n v="0.49398378910688584"/>
    <n v="11.321319444444445"/>
    <n v="1.0883043912971471"/>
    <s v="🟢 High"/>
  </r>
  <r>
    <n v="624"/>
    <s v="Di_Native_2024"/>
    <x v="0"/>
    <s v="Traffic"/>
    <s v="North"/>
    <s v="Tablet"/>
    <s v="55+"/>
    <x v="5"/>
    <x v="2"/>
    <n v="2024"/>
    <n v="8339.0499999999993"/>
    <n v="718944"/>
    <n v="4788"/>
    <n v="148"/>
    <n v="8062.94"/>
    <n v="0.6659767659233542"/>
    <n v="1.6839891395154551"/>
    <n v="54.479324324324324"/>
    <n v="1.0342443327123854"/>
    <s v="🔴 Low"/>
  </r>
  <r>
    <n v="625"/>
    <s v="Di_Retargeting_Display_2023"/>
    <x v="0"/>
    <s v="Conversions"/>
    <s v="North"/>
    <s v="Mobile"/>
    <s v="55+"/>
    <x v="9"/>
    <x v="3"/>
    <n v="2023"/>
    <n v="14155.75"/>
    <n v="472863"/>
    <n v="252"/>
    <n v="23"/>
    <n v="12168.83"/>
    <n v="5.3292391242283708E-2"/>
    <n v="48.289007936507936"/>
    <n v="529.07956521739129"/>
    <n v="1.1632794607205459"/>
    <s v="🔴 Low"/>
  </r>
  <r>
    <n v="626"/>
    <s v="Fa_Lead_Form_2024"/>
    <x v="2"/>
    <s v="Retargeting"/>
    <s v="South"/>
    <s v="Mobile"/>
    <s v="18-24"/>
    <x v="8"/>
    <x v="0"/>
    <n v="2024"/>
    <n v="8104.87"/>
    <n v="758800"/>
    <n v="5907"/>
    <n v="704"/>
    <n v="5291.85"/>
    <n v="0.77846599894570379"/>
    <n v="0.89586084306754699"/>
    <n v="7.516832386363637"/>
    <n v="1.5315759139053449"/>
    <s v="🔴 Low"/>
  </r>
  <r>
    <n v="627"/>
    <s v="Di_Programmatic_2024"/>
    <x v="0"/>
    <s v="Lead Generation"/>
    <s v="North"/>
    <s v="Tablet"/>
    <s v="55+"/>
    <x v="5"/>
    <x v="2"/>
    <n v="2024"/>
    <n v="15262.4"/>
    <n v="172800"/>
    <n v="3006"/>
    <n v="217"/>
    <n v="10815.7"/>
    <n v="1.7395833333333333"/>
    <n v="3.5980372588157024"/>
    <n v="49.841935483870969"/>
    <n v="1.4111338147322872"/>
    <s v="🟡 Mid"/>
  </r>
  <r>
    <n v="628"/>
    <s v="Fa_Messenger_2024"/>
    <x v="2"/>
    <s v="Traffic"/>
    <s v="North"/>
    <s v="Tablet"/>
    <s v="18-24"/>
    <x v="2"/>
    <x v="2"/>
    <n v="2024"/>
    <n v="12726.3"/>
    <n v="376692"/>
    <n v="6607"/>
    <n v="90"/>
    <n v="11679.63"/>
    <n v="1.7539528314909796"/>
    <n v="1.7677660057514757"/>
    <n v="129.77366666666666"/>
    <n v="1.0896149963654671"/>
    <s v="🟡 Mid"/>
  </r>
  <r>
    <n v="629"/>
    <s v="Go_Discovery_2024"/>
    <x v="1"/>
    <s v="Conversions"/>
    <s v="Central"/>
    <s v="Tablet"/>
    <s v="18-24"/>
    <x v="4"/>
    <x v="1"/>
    <n v="2024"/>
    <n v="19667.54"/>
    <n v="786984"/>
    <n v="27104"/>
    <n v="3052"/>
    <n v="16985.919999999998"/>
    <n v="3.4440344403444034"/>
    <n v="0.62669421487603294"/>
    <n v="5.5655045871559627"/>
    <n v="1.1578731090220609"/>
    <s v="🟢 High"/>
  </r>
  <r>
    <n v="630"/>
    <s v="Di_Interstitial_2023"/>
    <x v="0"/>
    <s v="Conversions"/>
    <s v="East"/>
    <s v="Mobile"/>
    <s v="55+"/>
    <x v="3"/>
    <x v="3"/>
    <n v="2023"/>
    <n v="14429.84"/>
    <n v="549909"/>
    <n v="3604"/>
    <n v="366"/>
    <n v="9295.64"/>
    <n v="0.6553811630651617"/>
    <n v="2.5792563817980021"/>
    <n v="25.397923497267758"/>
    <n v="1.5523234548670131"/>
    <s v="🔴 Low"/>
  </r>
  <r>
    <n v="631"/>
    <s v="Di_Interstitial_2024"/>
    <x v="0"/>
    <s v="Conversions"/>
    <s v="West"/>
    <s v="Desktop"/>
    <s v="25-34"/>
    <x v="6"/>
    <x v="3"/>
    <n v="2024"/>
    <n v="16654.53"/>
    <n v="90927"/>
    <n v="1036"/>
    <n v="61"/>
    <n v="11495.11"/>
    <n v="1.1393755430180255"/>
    <n v="11.095666023166023"/>
    <n v="188.4444262295082"/>
    <n v="1.448836070294238"/>
    <s v="🔴 Low"/>
  </r>
  <r>
    <n v="632"/>
    <s v="Go_Search_Competitor_2024"/>
    <x v="1"/>
    <s v="Traffic"/>
    <s v="West"/>
    <s v="Tablet"/>
    <s v="55+"/>
    <x v="10"/>
    <x v="1"/>
    <n v="2024"/>
    <n v="17504.29"/>
    <n v="617686"/>
    <n v="19074"/>
    <n v="476"/>
    <n v="13615.49"/>
    <n v="3.0879767389903607"/>
    <n v="0.71382457795952603"/>
    <n v="28.603970588235292"/>
    <n v="1.285615868396951"/>
    <s v="🟢 High"/>
  </r>
  <r>
    <n v="633"/>
    <s v="Fa_Instant_Experience_2024"/>
    <x v="2"/>
    <s v="Retargeting"/>
    <s v="South"/>
    <s v="Desktop"/>
    <s v="55+"/>
    <x v="0"/>
    <x v="0"/>
    <n v="2024"/>
    <n v="14367.44"/>
    <n v="140670"/>
    <n v="3077"/>
    <n v="314"/>
    <n v="12811.13"/>
    <n v="2.18738892443307"/>
    <n v="4.1635131621709451"/>
    <n v="40.799777070063691"/>
    <n v="1.1214810871484406"/>
    <s v="🟡 Mid"/>
  </r>
  <r>
    <n v="634"/>
    <s v="Fa_Instant_Experience_2024"/>
    <x v="2"/>
    <s v="Brand Awareness"/>
    <s v="South"/>
    <s v="Tablet"/>
    <s v="35-44"/>
    <x v="7"/>
    <x v="0"/>
    <n v="2024"/>
    <n v="2651.56"/>
    <n v="392538"/>
    <n v="5810"/>
    <n v="78"/>
    <n v="1635.8"/>
    <n v="1.4801114796529253"/>
    <n v="0.28154905335628228"/>
    <n v="20.97179487179487"/>
    <n v="1.6209561071035579"/>
    <s v="🔴 Low"/>
  </r>
  <r>
    <n v="635"/>
    <s v="Go_Search_Generic_2024"/>
    <x v="1"/>
    <s v="Conversions"/>
    <s v="East"/>
    <s v="Mobile"/>
    <s v="35-44"/>
    <x v="5"/>
    <x v="2"/>
    <n v="2024"/>
    <n v="1045.57"/>
    <n v="154809"/>
    <n v="4982"/>
    <n v="266"/>
    <n v="1020.04"/>
    <n v="3.2181591509537562"/>
    <n v="0.20474508229626656"/>
    <n v="3.8347368421052632"/>
    <n v="1.0250284302576369"/>
    <s v="🟢 High"/>
  </r>
  <r>
    <n v="636"/>
    <s v="Fa_Reels_2024"/>
    <x v="2"/>
    <s v="Lead Generation"/>
    <s v="West"/>
    <s v="Desktop"/>
    <s v="18-24"/>
    <x v="10"/>
    <x v="1"/>
    <n v="2024"/>
    <n v="1817.51"/>
    <n v="51852"/>
    <n v="1099"/>
    <n v="71"/>
    <n v="1527.95"/>
    <n v="2.1194939443030165"/>
    <n v="1.3903093721565059"/>
    <n v="21.520422535211267"/>
    <n v="1.1895088190058576"/>
    <s v="🟡 Mid"/>
  </r>
  <r>
    <n v="637"/>
    <s v="Di_Responsive_2023"/>
    <x v="0"/>
    <s v="Conversions"/>
    <s v="West"/>
    <s v="Mobile"/>
    <s v="55+"/>
    <x v="0"/>
    <x v="0"/>
    <n v="2023"/>
    <n v="10342.9"/>
    <n v="488326"/>
    <n v="3683"/>
    <n v="222"/>
    <n v="9367.59"/>
    <n v="0.75420927822806894"/>
    <n v="2.5434672821069779"/>
    <n v="42.196351351351353"/>
    <n v="1.1041153594467734"/>
    <s v="🔴 Low"/>
  </r>
  <r>
    <n v="638"/>
    <s v="Go_Smart_Campaign_2023"/>
    <x v="1"/>
    <s v="Retargeting"/>
    <s v="South"/>
    <s v="Mobile"/>
    <s v="35-44"/>
    <x v="10"/>
    <x v="1"/>
    <n v="2023"/>
    <n v="19182.55"/>
    <n v="469620"/>
    <n v="9675"/>
    <n v="1150"/>
    <n v="16713.47"/>
    <n v="2.0601763127635109"/>
    <n v="1.7274904392764858"/>
    <n v="14.533452173913044"/>
    <n v="1.1477299447690994"/>
    <s v="🟡 Mid"/>
  </r>
  <r>
    <n v="639"/>
    <s v="Go_Search_Brand_2023"/>
    <x v="1"/>
    <s v="Traffic"/>
    <s v="East"/>
    <s v="Tablet"/>
    <s v="18-24"/>
    <x v="3"/>
    <x v="3"/>
    <n v="2023"/>
    <n v="4252.32"/>
    <n v="653758"/>
    <n v="12990"/>
    <n v="502"/>
    <n v="3483.23"/>
    <n v="1.9869737731698884"/>
    <n v="0.26814703618167823"/>
    <n v="6.9387051792828682"/>
    <n v="1.2207979375464726"/>
    <s v="🟡 Mid"/>
  </r>
  <r>
    <n v="640"/>
    <s v="Fa_Feed_Image_2023"/>
    <x v="2"/>
    <s v="Brand Awareness"/>
    <s v="Central"/>
    <s v="Desktop"/>
    <s v="18-24"/>
    <x v="5"/>
    <x v="2"/>
    <n v="2023"/>
    <n v="5283.09"/>
    <n v="744893"/>
    <n v="10288"/>
    <n v="180"/>
    <n v="4455.82"/>
    <n v="1.3811379620965696"/>
    <n v="0.43310847589424567"/>
    <n v="24.754555555555555"/>
    <n v="1.1856605518176229"/>
    <s v="🔴 Low"/>
  </r>
  <r>
    <n v="641"/>
    <s v="Go_Search_Competitor_2024"/>
    <x v="1"/>
    <s v="Retargeting"/>
    <s v="Central"/>
    <s v="Desktop"/>
    <s v="45-54"/>
    <x v="8"/>
    <x v="0"/>
    <n v="2024"/>
    <n v="9021.84"/>
    <n v="440092"/>
    <n v="14987"/>
    <n v="1357"/>
    <n v="5758.01"/>
    <n v="3.4054243203693777"/>
    <n v="0.38420030693267498"/>
    <n v="4.2431908621960206"/>
    <n v="1.5668329857016574"/>
    <s v="🟢 High"/>
  </r>
  <r>
    <n v="642"/>
    <s v="Go_Shopping_2023"/>
    <x v="1"/>
    <s v="Conversions"/>
    <s v="South"/>
    <s v="Desktop"/>
    <s v="35-44"/>
    <x v="7"/>
    <x v="0"/>
    <n v="2023"/>
    <n v="6482.49"/>
    <n v="432060"/>
    <n v="12496"/>
    <n v="1218"/>
    <n v="4049.9"/>
    <n v="2.8921908994121188"/>
    <n v="0.32409571062740078"/>
    <n v="3.3250410509031201"/>
    <n v="1.6006543371441269"/>
    <s v="🟡 Mid"/>
  </r>
  <r>
    <n v="643"/>
    <s v="Fa_Carousel_2024"/>
    <x v="2"/>
    <s v="Brand Awareness"/>
    <s v="North"/>
    <s v="Mobile"/>
    <s v="45-54"/>
    <x v="7"/>
    <x v="0"/>
    <n v="2024"/>
    <n v="3277.98"/>
    <n v="344966"/>
    <n v="5314"/>
    <n v="98"/>
    <n v="2038.21"/>
    <n v="1.5404416667149807"/>
    <n v="0.38355476100865638"/>
    <n v="20.798061224489796"/>
    <n v="1.6082641141001173"/>
    <s v="🟡 Mid"/>
  </r>
  <r>
    <n v="644"/>
    <s v="Go_PMax_2024"/>
    <x v="1"/>
    <s v="Retargeting"/>
    <s v="Central"/>
    <s v="Tablet"/>
    <s v="45-54"/>
    <x v="7"/>
    <x v="0"/>
    <n v="2024"/>
    <n v="1682.32"/>
    <n v="492402"/>
    <n v="19647"/>
    <n v="2048"/>
    <n v="1055.6400000000001"/>
    <n v="3.9900325343926304"/>
    <n v="5.3730340510001535E-2"/>
    <n v="0.51544921875000005"/>
    <n v="1.5936493501572504"/>
    <s v="🟢 High"/>
  </r>
  <r>
    <n v="645"/>
    <s v="Go_Smart_Campaign_2023"/>
    <x v="1"/>
    <s v="Lead Generation"/>
    <s v="North"/>
    <s v="Mobile"/>
    <s v="55+"/>
    <x v="9"/>
    <x v="3"/>
    <n v="2023"/>
    <n v="5303.16"/>
    <n v="586652"/>
    <n v="15545"/>
    <n v="1151"/>
    <n v="4175.24"/>
    <n v="2.6497821536447503"/>
    <n v="0.26859054358314571"/>
    <n v="3.6274891398783664"/>
    <n v="1.2701449497513915"/>
    <s v="🟡 Mid"/>
  </r>
  <r>
    <n v="646"/>
    <s v="Di_Interstitial_2024"/>
    <x v="0"/>
    <s v="Lead Generation"/>
    <s v="East"/>
    <s v="Tablet"/>
    <s v="25-34"/>
    <x v="11"/>
    <x v="2"/>
    <n v="2024"/>
    <n v="19246.37"/>
    <n v="587119"/>
    <n v="2870"/>
    <n v="192"/>
    <n v="11555.91"/>
    <n v="0.48882764822804237"/>
    <n v="4.0264494773519166"/>
    <n v="60.187031249999997"/>
    <n v="1.6655001639853546"/>
    <s v="🔴 Low"/>
  </r>
  <r>
    <n v="647"/>
    <s v="Fa_Stories_2024"/>
    <x v="2"/>
    <s v="Lead Generation"/>
    <s v="North"/>
    <s v="Desktop"/>
    <s v="45-54"/>
    <x v="5"/>
    <x v="2"/>
    <n v="2024"/>
    <n v="16870.009999999998"/>
    <n v="403619"/>
    <n v="10337"/>
    <n v="545"/>
    <n v="16078.59"/>
    <n v="2.5610786409955923"/>
    <n v="1.5554406500919029"/>
    <n v="29.501999999999999"/>
    <n v="1.0492219777978042"/>
    <s v="🟡 Mid"/>
  </r>
  <r>
    <n v="648"/>
    <s v="Fa_Feed_Image_2023"/>
    <x v="2"/>
    <s v="Lead Generation"/>
    <s v="Central"/>
    <s v="Tablet"/>
    <s v="18-24"/>
    <x v="5"/>
    <x v="2"/>
    <n v="2023"/>
    <n v="8208.4500000000007"/>
    <n v="133950"/>
    <n v="2137"/>
    <n v="191"/>
    <n v="7424.8"/>
    <n v="1.5953714072415082"/>
    <n v="3.4744033692091718"/>
    <n v="38.87329842931937"/>
    <n v="1.1055449305031786"/>
    <s v="🟡 Mid"/>
  </r>
  <r>
    <n v="649"/>
    <s v="Fa_Messenger_2024"/>
    <x v="2"/>
    <s v="Lead Generation"/>
    <s v="Central"/>
    <s v="Tablet"/>
    <s v="35-44"/>
    <x v="3"/>
    <x v="3"/>
    <n v="2024"/>
    <n v="12885.81"/>
    <n v="794256"/>
    <n v="11876"/>
    <n v="946"/>
    <n v="9472.2099999999991"/>
    <n v="1.4952357929936948"/>
    <n v="0.79759262377905016"/>
    <n v="10.012906976744185"/>
    <n v="1.3603805236581539"/>
    <s v="🔴 Low"/>
  </r>
  <r>
    <n v="650"/>
    <s v="Go_Discovery_2023"/>
    <x v="1"/>
    <s v="Traffic"/>
    <s v="East"/>
    <s v="Desktop"/>
    <s v="25-34"/>
    <x v="3"/>
    <x v="3"/>
    <n v="2023"/>
    <n v="12371.34"/>
    <n v="9487"/>
    <n v="229"/>
    <n v="8"/>
    <n v="10918.16"/>
    <n v="2.413829450827448"/>
    <n v="47.677554585152841"/>
    <n v="1364.77"/>
    <n v="1.1330975182631506"/>
    <s v="🟡 Mid"/>
  </r>
  <r>
    <n v="651"/>
    <s v="Fa_Instant_Experience_2023"/>
    <x v="2"/>
    <s v="Retargeting"/>
    <s v="Central"/>
    <s v="Desktop"/>
    <s v="18-24"/>
    <x v="10"/>
    <x v="1"/>
    <n v="2023"/>
    <n v="17905.16"/>
    <n v="709237"/>
    <n v="9634"/>
    <n v="1327"/>
    <n v="13573.51"/>
    <n v="1.3583611684105596"/>
    <n v="1.4089173759601412"/>
    <n v="10.228718914845516"/>
    <n v="1.3191252667880304"/>
    <s v="🔴 Low"/>
  </r>
  <r>
    <n v="652"/>
    <s v="Di_Retargeting_Display_2024"/>
    <x v="0"/>
    <s v="Retargeting"/>
    <s v="South"/>
    <s v="Tablet"/>
    <s v="18-24"/>
    <x v="7"/>
    <x v="0"/>
    <n v="2024"/>
    <n v="7724.37"/>
    <n v="207365"/>
    <n v="1631"/>
    <n v="155"/>
    <n v="5353.29"/>
    <n v="0.78653581848431509"/>
    <n v="3.2822133660331083"/>
    <n v="34.537354838709675"/>
    <n v="1.4429201481705642"/>
    <s v="🔴 Low"/>
  </r>
  <r>
    <n v="653"/>
    <s v="Go_YouTube_PreRoll_2024"/>
    <x v="1"/>
    <s v="Conversions"/>
    <s v="South"/>
    <s v="Desktop"/>
    <s v="55+"/>
    <x v="3"/>
    <x v="3"/>
    <n v="2024"/>
    <n v="16264.08"/>
    <n v="236890"/>
    <n v="6769"/>
    <n v="510"/>
    <n v="11676.27"/>
    <n v="2.8574443834691206"/>
    <n v="1.7249623282611908"/>
    <n v="22.89464705882353"/>
    <n v="1.3929174299669329"/>
    <s v="🟡 Mid"/>
  </r>
  <r>
    <n v="654"/>
    <s v="Di_Interstitial_2024"/>
    <x v="0"/>
    <s v="Brand Awareness"/>
    <s v="South"/>
    <s v="Tablet"/>
    <s v="45-54"/>
    <x v="7"/>
    <x v="0"/>
    <n v="2024"/>
    <n v="11597.49"/>
    <n v="523008"/>
    <n v="6697"/>
    <n v="50"/>
    <n v="7902.34"/>
    <n v="1.2804775452765542"/>
    <n v="1.1799820815290429"/>
    <n v="158.04679999999999"/>
    <n v="1.4676020014324871"/>
    <s v="🔴 Low"/>
  </r>
  <r>
    <n v="655"/>
    <s v="Di_Native_2024"/>
    <x v="0"/>
    <s v="Brand Awareness"/>
    <s v="Central"/>
    <s v="Desktop"/>
    <s v="18-24"/>
    <x v="0"/>
    <x v="0"/>
    <n v="2024"/>
    <n v="18704.490000000002"/>
    <n v="244038"/>
    <n v="3153"/>
    <n v="28"/>
    <n v="17881.87"/>
    <n v="1.292011899786099"/>
    <n v="5.6713828100222008"/>
    <n v="638.6382142857143"/>
    <n v="1.0460030186999461"/>
    <s v="🔴 Low"/>
  </r>
  <r>
    <n v="656"/>
    <s v="Go_YouTube_PreRoll_2023"/>
    <x v="1"/>
    <s v="Traffic"/>
    <s v="West"/>
    <s v="Desktop"/>
    <s v="45-54"/>
    <x v="3"/>
    <x v="3"/>
    <n v="2023"/>
    <n v="17150.27"/>
    <n v="343689"/>
    <n v="7735"/>
    <n v="177"/>
    <n v="17458.03"/>
    <n v="2.2505811940446159"/>
    <n v="2.2570174531350999"/>
    <n v="98.632937853107336"/>
    <n v="0.98237143595239562"/>
    <s v="🟡 Mid"/>
  </r>
  <r>
    <n v="657"/>
    <s v="Fa_Feed_Video_2023"/>
    <x v="2"/>
    <s v="Traffic"/>
    <s v="West"/>
    <s v="Mobile"/>
    <s v="35-44"/>
    <x v="10"/>
    <x v="1"/>
    <n v="2023"/>
    <n v="17734.150000000001"/>
    <n v="240455"/>
    <n v="6422"/>
    <n v="166"/>
    <n v="12995.97"/>
    <n v="2.6707699985444262"/>
    <n v="2.0236639676113359"/>
    <n v="78.288975903614457"/>
    <n v="1.3645884070215615"/>
    <s v="🟡 Mid"/>
  </r>
  <r>
    <n v="658"/>
    <s v="Fa_Reels_2023"/>
    <x v="2"/>
    <s v="Conversions"/>
    <s v="North"/>
    <s v="Tablet"/>
    <s v="18-24"/>
    <x v="6"/>
    <x v="3"/>
    <n v="2023"/>
    <n v="19572.86"/>
    <n v="449407"/>
    <n v="8653"/>
    <n v="1012"/>
    <n v="19281.97"/>
    <n v="1.9254261727120403"/>
    <n v="2.2283566393158445"/>
    <n v="19.053330039525694"/>
    <n v="1.0150861141263054"/>
    <s v="🟡 Mid"/>
  </r>
  <r>
    <n v="659"/>
    <s v="Go_Shopping_2024"/>
    <x v="1"/>
    <s v="Conversions"/>
    <s v="East"/>
    <s v="Desktop"/>
    <s v="18-24"/>
    <x v="8"/>
    <x v="0"/>
    <n v="2024"/>
    <n v="8923"/>
    <n v="30190"/>
    <n v="668"/>
    <n v="49"/>
    <n v="6292.25"/>
    <n v="2.2126531964226563"/>
    <n v="9.4195359281437128"/>
    <n v="128.41326530612244"/>
    <n v="1.4180936866780562"/>
    <s v="🟡 Mid"/>
  </r>
  <r>
    <n v="660"/>
    <s v="Go_Discovery_2023"/>
    <x v="1"/>
    <s v="Lead Generation"/>
    <s v="East"/>
    <s v="Desktop"/>
    <s v="35-44"/>
    <x v="10"/>
    <x v="1"/>
    <n v="2023"/>
    <n v="18899.18"/>
    <n v="634108"/>
    <n v="15311"/>
    <n v="1181"/>
    <n v="17404.66"/>
    <n v="2.4145729118699024"/>
    <n v="1.136742211481941"/>
    <n v="14.737222692633361"/>
    <n v="1.0858689569345221"/>
    <s v="🟡 Mid"/>
  </r>
  <r>
    <n v="661"/>
    <s v="Di_Responsive_2024"/>
    <x v="0"/>
    <s v="Traffic"/>
    <s v="North"/>
    <s v="Desktop"/>
    <s v="18-24"/>
    <x v="8"/>
    <x v="0"/>
    <n v="2024"/>
    <n v="6608.95"/>
    <n v="732044"/>
    <n v="6878"/>
    <n v="258"/>
    <n v="5192.03"/>
    <n v="0.93956100999393466"/>
    <n v="0.7548749636522244"/>
    <n v="20.124147286821703"/>
    <n v="1.2729028915472369"/>
    <s v="🔴 Low"/>
  </r>
  <r>
    <n v="662"/>
    <s v="Fa_Messenger_2023"/>
    <x v="2"/>
    <s v="Brand Awareness"/>
    <s v="North"/>
    <s v="Tablet"/>
    <s v="18-24"/>
    <x v="10"/>
    <x v="1"/>
    <n v="2023"/>
    <n v="6250.88"/>
    <n v="404985"/>
    <n v="6900"/>
    <n v="76"/>
    <n v="5371.17"/>
    <n v="1.7037668061780067"/>
    <n v="0.77843043478260876"/>
    <n v="70.673289473684207"/>
    <n v="1.1637836821400178"/>
    <s v="🟡 Mid"/>
  </r>
  <r>
    <n v="663"/>
    <s v="Fa_Reels_2024"/>
    <x v="2"/>
    <s v="Traffic"/>
    <s v="Central"/>
    <s v="Desktop"/>
    <s v="45-54"/>
    <x v="1"/>
    <x v="1"/>
    <n v="2024"/>
    <n v="16005.71"/>
    <n v="655338"/>
    <n v="8299"/>
    <n v="316"/>
    <n v="14866.59"/>
    <n v="1.2663694154772043"/>
    <n v="1.7913712495481384"/>
    <n v="47.046170886075949"/>
    <n v="1.0766228166647496"/>
    <s v="🔴 Low"/>
  </r>
  <r>
    <n v="664"/>
    <s v="Fa_Lead_Form_2023"/>
    <x v="2"/>
    <s v="Traffic"/>
    <s v="South"/>
    <s v="Desktop"/>
    <s v="18-24"/>
    <x v="8"/>
    <x v="0"/>
    <n v="2023"/>
    <n v="12061.29"/>
    <n v="208019"/>
    <n v="2683"/>
    <n v="99"/>
    <n v="7874.96"/>
    <n v="1.2897860291607979"/>
    <n v="2.9351323145732389"/>
    <n v="79.545050505050511"/>
    <n v="1.5316001605087519"/>
    <s v="🔴 Low"/>
  </r>
  <r>
    <n v="665"/>
    <s v="Di_Programmatic_2023"/>
    <x v="0"/>
    <s v="Conversions"/>
    <s v="West"/>
    <s v="Mobile"/>
    <s v="55+"/>
    <x v="4"/>
    <x v="1"/>
    <n v="2023"/>
    <n v="5241.47"/>
    <n v="51211"/>
    <n v="563"/>
    <n v="45"/>
    <n v="5257.67"/>
    <n v="1.0993731815430279"/>
    <n v="9.3386678507992897"/>
    <n v="116.83711111111111"/>
    <n v="0.99691878721943372"/>
    <s v="🔴 Low"/>
  </r>
  <r>
    <n v="666"/>
    <s v="Fa_Stories_2024"/>
    <x v="2"/>
    <s v="Traffic"/>
    <s v="Central"/>
    <s v="Desktop"/>
    <s v="25-34"/>
    <x v="4"/>
    <x v="1"/>
    <n v="2024"/>
    <n v="12264.93"/>
    <n v="310202"/>
    <n v="5460"/>
    <n v="115"/>
    <n v="7400.59"/>
    <n v="1.7601433904359094"/>
    <n v="1.355419413919414"/>
    <n v="64.352956521739131"/>
    <n v="1.6572908376224058"/>
    <s v="🟡 Mid"/>
  </r>
  <r>
    <n v="667"/>
    <s v="Di_Native_2024"/>
    <x v="0"/>
    <s v="Brand Awareness"/>
    <s v="South"/>
    <s v="Tablet"/>
    <s v="55+"/>
    <x v="8"/>
    <x v="0"/>
    <n v="2024"/>
    <n v="7204.41"/>
    <n v="215105"/>
    <n v="1048"/>
    <n v="6"/>
    <n v="4895.6099999999997"/>
    <n v="0.48720392366518683"/>
    <n v="4.6713835877862593"/>
    <n v="815.93499999999995"/>
    <n v="1.4716061941208554"/>
    <s v="🔴 Low"/>
  </r>
  <r>
    <n v="668"/>
    <s v="Fa_Instant_Experience_2024"/>
    <x v="2"/>
    <s v="Traffic"/>
    <s v="East"/>
    <s v="Tablet"/>
    <s v="55+"/>
    <x v="2"/>
    <x v="2"/>
    <n v="2024"/>
    <n v="8664.56"/>
    <n v="175162"/>
    <n v="2348"/>
    <n v="30"/>
    <n v="8386.98"/>
    <n v="1.3404733903472215"/>
    <n v="3.5719676320272571"/>
    <n v="279.56599999999997"/>
    <n v="1.0330965377287176"/>
    <s v="🔴 Low"/>
  </r>
  <r>
    <n v="669"/>
    <s v="Go_Discovery_2023"/>
    <x v="1"/>
    <s v="Lead Generation"/>
    <s v="North"/>
    <s v="Tablet"/>
    <s v="25-34"/>
    <x v="6"/>
    <x v="3"/>
    <n v="2023"/>
    <n v="9597.4699999999993"/>
    <n v="228491"/>
    <n v="6526"/>
    <n v="634"/>
    <n v="7094.8"/>
    <n v="2.8561300007440118"/>
    <n v="1.0871590560833588"/>
    <n v="11.190536277602524"/>
    <n v="1.3527470823701866"/>
    <s v="🟡 Mid"/>
  </r>
  <r>
    <n v="670"/>
    <s v="Di_Video_Display_2023"/>
    <x v="0"/>
    <s v="Lead Generation"/>
    <s v="West"/>
    <s v="Desktop"/>
    <s v="18-24"/>
    <x v="2"/>
    <x v="2"/>
    <n v="2023"/>
    <n v="1937.76"/>
    <n v="36475"/>
    <n v="551"/>
    <n v="40"/>
    <n v="1278.55"/>
    <n v="1.5106237148732007"/>
    <n v="2.3204174228675134"/>
    <n v="31.963749999999997"/>
    <n v="1.5155918814281804"/>
    <s v="🟡 Mid"/>
  </r>
  <r>
    <n v="671"/>
    <s v="Fa_Reels_2023"/>
    <x v="2"/>
    <s v="Traffic"/>
    <s v="East"/>
    <s v="Desktop"/>
    <s v="18-24"/>
    <x v="11"/>
    <x v="2"/>
    <n v="2023"/>
    <n v="6039.97"/>
    <n v="234580"/>
    <n v="5157"/>
    <n v="104"/>
    <n v="5030.6400000000003"/>
    <n v="2.1983971353056528"/>
    <n v="0.97549738219895299"/>
    <n v="48.371538461538464"/>
    <n v="1.2006364995308747"/>
    <s v="🟡 Mid"/>
  </r>
  <r>
    <n v="672"/>
    <s v="Go_PMax_2023"/>
    <x v="1"/>
    <s v="Brand Awareness"/>
    <s v="South"/>
    <s v="Mobile"/>
    <s v="18-24"/>
    <x v="8"/>
    <x v="0"/>
    <n v="2023"/>
    <n v="7888.99"/>
    <n v="121359"/>
    <n v="2760"/>
    <n v="27"/>
    <n v="5429.99"/>
    <n v="2.2742441846092998"/>
    <n v="1.9673876811594202"/>
    <n v="201.11074074074074"/>
    <n v="1.4528553459582798"/>
    <s v="🟡 Mid"/>
  </r>
  <r>
    <n v="673"/>
    <s v="Fa_Reels_2024"/>
    <x v="2"/>
    <s v="Conversions"/>
    <s v="East"/>
    <s v="Tablet"/>
    <s v="25-34"/>
    <x v="10"/>
    <x v="1"/>
    <n v="2024"/>
    <n v="17628.560000000001"/>
    <n v="73553"/>
    <n v="1736"/>
    <n v="102"/>
    <n v="11981.24"/>
    <n v="2.3602028469267058"/>
    <n v="6.9016359447004607"/>
    <n v="117.46313725490195"/>
    <n v="1.4713468722769931"/>
    <s v="🟡 Mid"/>
  </r>
  <r>
    <n v="674"/>
    <s v="Di_Video_Display_2023"/>
    <x v="0"/>
    <s v="Conversions"/>
    <s v="East"/>
    <s v="Tablet"/>
    <s v="45-54"/>
    <x v="3"/>
    <x v="3"/>
    <n v="2023"/>
    <n v="18459.77"/>
    <n v="650952"/>
    <n v="9122"/>
    <n v="831"/>
    <n v="17700.39"/>
    <n v="1.4013322026816111"/>
    <n v="1.9404067090550317"/>
    <n v="21.300108303249097"/>
    <n v="1.0429018795631058"/>
    <s v="🔴 Low"/>
  </r>
  <r>
    <n v="675"/>
    <s v="Fa_Carousel_2024"/>
    <x v="2"/>
    <s v="Conversions"/>
    <s v="South"/>
    <s v="Desktop"/>
    <s v="35-44"/>
    <x v="0"/>
    <x v="0"/>
    <n v="2024"/>
    <n v="4580.13"/>
    <n v="90362"/>
    <n v="1618"/>
    <n v="150"/>
    <n v="3070.16"/>
    <n v="1.7905756844691354"/>
    <n v="1.8975030902348577"/>
    <n v="20.467733333333332"/>
    <n v="1.4918212731584022"/>
    <s v="🟡 Mid"/>
  </r>
  <r>
    <n v="676"/>
    <s v="Fa_Lead_Form_2024"/>
    <x v="2"/>
    <s v="Retargeting"/>
    <s v="Central"/>
    <s v="Mobile"/>
    <s v="25-34"/>
    <x v="2"/>
    <x v="2"/>
    <n v="2024"/>
    <n v="10746.78"/>
    <n v="511773"/>
    <n v="3767"/>
    <n v="441"/>
    <n v="8681.3799999999992"/>
    <n v="0.7360685303835881"/>
    <n v="2.3045872046721527"/>
    <n v="19.685668934240361"/>
    <n v="1.2379114841188845"/>
    <s v="🔴 Low"/>
  </r>
  <r>
    <n v="677"/>
    <s v="Fa_Messenger_2024"/>
    <x v="2"/>
    <s v="Traffic"/>
    <s v="North"/>
    <s v="Desktop"/>
    <s v="25-34"/>
    <x v="11"/>
    <x v="2"/>
    <n v="2024"/>
    <n v="17331.78"/>
    <n v="420131"/>
    <n v="7155"/>
    <n v="152"/>
    <n v="11543.45"/>
    <n v="1.7030402422101676"/>
    <n v="1.6133403214535291"/>
    <n v="75.943750000000009"/>
    <n v="1.5014384780979688"/>
    <s v="🟡 Mid"/>
  </r>
  <r>
    <n v="678"/>
    <s v="Fa_Stories_2024"/>
    <x v="2"/>
    <s v="Traffic"/>
    <s v="North"/>
    <s v="Desktop"/>
    <s v="18-24"/>
    <x v="5"/>
    <x v="2"/>
    <n v="2024"/>
    <n v="10617"/>
    <n v="246358"/>
    <n v="5212"/>
    <n v="143"/>
    <n v="8444.83"/>
    <n v="2.1156203573661094"/>
    <n v="1.6202666922486568"/>
    <n v="59.054755244755242"/>
    <n v="1.2572189138206453"/>
    <s v="🟡 Mid"/>
  </r>
  <r>
    <n v="679"/>
    <s v="Di_Retargeting_Display_2024"/>
    <x v="0"/>
    <s v="Retargeting"/>
    <s v="West"/>
    <s v="Mobile"/>
    <s v="45-54"/>
    <x v="1"/>
    <x v="1"/>
    <n v="2024"/>
    <n v="16187.84"/>
    <n v="337420"/>
    <n v="2307"/>
    <n v="219"/>
    <n v="11518.66"/>
    <n v="0.68371762195483377"/>
    <n v="4.9929172084958822"/>
    <n v="52.596621004566209"/>
    <n v="1.4053579148963509"/>
    <s v="🔴 Low"/>
  </r>
  <r>
    <n v="680"/>
    <s v="Go_Search_Competitor_2023"/>
    <x v="1"/>
    <s v="Brand Awareness"/>
    <s v="East"/>
    <s v="Tablet"/>
    <s v="55+"/>
    <x v="10"/>
    <x v="1"/>
    <n v="2023"/>
    <n v="15824.53"/>
    <n v="243804"/>
    <n v="7096"/>
    <n v="45"/>
    <n v="9968.92"/>
    <n v="2.9105346918016113"/>
    <n v="1.4048647125140925"/>
    <n v="221.53155555555557"/>
    <n v="1.5873865975451704"/>
    <s v="🟡 Mid"/>
  </r>
  <r>
    <n v="681"/>
    <s v="Go_PMax_2024"/>
    <x v="1"/>
    <s v="Conversions"/>
    <s v="South"/>
    <s v="Tablet"/>
    <s v="35-44"/>
    <x v="5"/>
    <x v="2"/>
    <n v="2024"/>
    <n v="15031.62"/>
    <n v="721742"/>
    <n v="21533"/>
    <n v="1987"/>
    <n v="9889.35"/>
    <n v="2.9834760897938595"/>
    <n v="0.45926484930107281"/>
    <n v="4.9770256668344244"/>
    <n v="1.519980585174961"/>
    <s v="🟡 Mid"/>
  </r>
  <r>
    <n v="682"/>
    <s v="Di_Programmatic_2024"/>
    <x v="0"/>
    <s v="Brand Awareness"/>
    <s v="East"/>
    <s v="Mobile"/>
    <s v="35-44"/>
    <x v="1"/>
    <x v="1"/>
    <n v="2024"/>
    <n v="16526.3"/>
    <n v="799617"/>
    <n v="3450"/>
    <n v="51"/>
    <n v="13191.98"/>
    <n v="0.43145655982801767"/>
    <n v="3.8237623188405796"/>
    <n v="258.66627450980394"/>
    <n v="1.2527535669399135"/>
    <s v="🔴 Low"/>
  </r>
  <r>
    <n v="683"/>
    <s v="Di_Native_2023"/>
    <x v="0"/>
    <s v="Retargeting"/>
    <s v="South"/>
    <s v="Desktop"/>
    <s v="25-34"/>
    <x v="4"/>
    <x v="1"/>
    <n v="2023"/>
    <n v="10558.59"/>
    <n v="584459"/>
    <n v="4315"/>
    <n v="418"/>
    <n v="9846.99"/>
    <n v="0.73828959773055081"/>
    <n v="2.2820370799536498"/>
    <n v="23.557392344497607"/>
    <n v="1.0722657380580258"/>
    <s v="🔴 Low"/>
  </r>
  <r>
    <n v="684"/>
    <s v="Fa_Reels_2023"/>
    <x v="2"/>
    <s v="Retargeting"/>
    <s v="West"/>
    <s v="Desktop"/>
    <s v="45-54"/>
    <x v="4"/>
    <x v="1"/>
    <n v="2023"/>
    <n v="7806.65"/>
    <n v="610561"/>
    <n v="4886"/>
    <n v="634"/>
    <n v="5685.9"/>
    <n v="0.80024764110383728"/>
    <n v="1.1637126483831355"/>
    <n v="8.9682965299684536"/>
    <n v="1.3729840482597302"/>
    <s v="🔴 Low"/>
  </r>
  <r>
    <n v="685"/>
    <s v="Di_Banner_Standard_2024"/>
    <x v="0"/>
    <s v="Retargeting"/>
    <s v="East"/>
    <s v="Mobile"/>
    <s v="25-34"/>
    <x v="1"/>
    <x v="1"/>
    <n v="2024"/>
    <n v="13872.37"/>
    <n v="427962"/>
    <n v="3259"/>
    <n v="273"/>
    <n v="11743.25"/>
    <n v="0.76151620938307607"/>
    <n v="3.6033292420988032"/>
    <n v="43.015567765567766"/>
    <n v="1.1813058565558938"/>
    <s v="🔴 Low"/>
  </r>
  <r>
    <n v="686"/>
    <s v="Di_Banner_Standard_2024"/>
    <x v="0"/>
    <s v="Lead Generation"/>
    <s v="South"/>
    <s v="Mobile"/>
    <s v="55+"/>
    <x v="3"/>
    <x v="3"/>
    <n v="2024"/>
    <n v="19613.36"/>
    <n v="219124"/>
    <n v="109"/>
    <n v="10"/>
    <n v="12292.83"/>
    <n v="4.9743524214599946E-2"/>
    <n v="112.77825688073395"/>
    <n v="1229.2829999999999"/>
    <n v="1.5955121806776797"/>
    <s v="🔴 Low"/>
  </r>
  <r>
    <n v="687"/>
    <s v="Fa_Reels_2024"/>
    <x v="2"/>
    <s v="Retargeting"/>
    <s v="North"/>
    <s v="Mobile"/>
    <s v="55+"/>
    <x v="4"/>
    <x v="1"/>
    <n v="2024"/>
    <n v="2318.21"/>
    <n v="114380"/>
    <n v="1667"/>
    <n v="210"/>
    <n v="1978.39"/>
    <n v="1.457422626333275"/>
    <n v="1.1867966406718657"/>
    <n v="9.4209047619047617"/>
    <n v="1.1717659308831929"/>
    <s v="🔴 Low"/>
  </r>
  <r>
    <n v="688"/>
    <s v="Go_Shopping_2023"/>
    <x v="1"/>
    <s v="Lead Generation"/>
    <s v="North"/>
    <s v="Mobile"/>
    <s v="35-44"/>
    <x v="11"/>
    <x v="2"/>
    <n v="2023"/>
    <n v="6176.56"/>
    <n v="554868"/>
    <n v="13990"/>
    <n v="618"/>
    <n v="3854.98"/>
    <n v="2.5213203861098497"/>
    <n v="0.27555253752680486"/>
    <n v="6.2378317152103557"/>
    <n v="1.6022288053375116"/>
    <s v="🟡 Mid"/>
  </r>
  <r>
    <n v="689"/>
    <s v="Di_Banner_Standard_2023"/>
    <x v="0"/>
    <s v="Lead Generation"/>
    <s v="East"/>
    <s v="Mobile"/>
    <s v="45-54"/>
    <x v="0"/>
    <x v="0"/>
    <n v="2023"/>
    <n v="3018.18"/>
    <n v="443738"/>
    <n v="2276"/>
    <n v="221"/>
    <n v="2908.3"/>
    <n v="0.51291527883570942"/>
    <n v="1.2778119507908612"/>
    <n v="13.159728506787332"/>
    <n v="1.0377815218512532"/>
    <s v="🔴 Low"/>
  </r>
  <r>
    <n v="690"/>
    <s v="Go_PMax_2024"/>
    <x v="1"/>
    <s v="Conversions"/>
    <s v="West"/>
    <s v="Tablet"/>
    <s v="45-54"/>
    <x v="0"/>
    <x v="0"/>
    <n v="2024"/>
    <n v="11956.09"/>
    <n v="531883"/>
    <n v="15029"/>
    <n v="1505"/>
    <n v="9478.33"/>
    <n v="2.8256214242605986"/>
    <n v="0.63066937254641031"/>
    <n v="6.2978936877076412"/>
    <n v="1.2614131392344432"/>
    <s v="🟡 Mid"/>
  </r>
  <r>
    <n v="691"/>
    <s v="Go_Search_Brand_2023"/>
    <x v="1"/>
    <s v="Lead Generation"/>
    <s v="West"/>
    <s v="Desktop"/>
    <s v="45-54"/>
    <x v="9"/>
    <x v="3"/>
    <n v="2023"/>
    <n v="10754.2"/>
    <n v="601879"/>
    <n v="19277"/>
    <n v="1437"/>
    <n v="9782.69"/>
    <n v="3.2028032212454662"/>
    <n v="0.50747989832442808"/>
    <n v="6.8077174669450251"/>
    <n v="1.0993090857422652"/>
    <s v="🟢 High"/>
  </r>
  <r>
    <n v="692"/>
    <s v="Fa_Instant_Experience_2024"/>
    <x v="2"/>
    <s v="Conversions"/>
    <s v="East"/>
    <s v="Mobile"/>
    <s v="55+"/>
    <x v="0"/>
    <x v="0"/>
    <n v="2024"/>
    <n v="5358.13"/>
    <n v="652743"/>
    <n v="7950"/>
    <n v="805"/>
    <n v="4245.18"/>
    <n v="1.2179372279748693"/>
    <n v="0.53398490566037737"/>
    <n v="5.2735155279503108"/>
    <n v="1.2621679174970202"/>
    <s v="🔴 Low"/>
  </r>
  <r>
    <n v="693"/>
    <s v="Di_Native_2023"/>
    <x v="0"/>
    <s v="Traffic"/>
    <s v="North"/>
    <s v="Mobile"/>
    <s v="18-24"/>
    <x v="11"/>
    <x v="2"/>
    <n v="2023"/>
    <n v="5838.64"/>
    <n v="663592"/>
    <n v="331"/>
    <n v="3"/>
    <n v="5284.82"/>
    <n v="4.9880046775729665E-2"/>
    <n v="15.966223564954682"/>
    <n v="1761.6066666666666"/>
    <n v="1.1047944868510187"/>
    <s v="🔴 Low"/>
  </r>
  <r>
    <n v="694"/>
    <s v="Go_Discovery_2023"/>
    <x v="1"/>
    <s v="Retargeting"/>
    <s v="Central"/>
    <s v="Desktop"/>
    <s v="35-44"/>
    <x v="7"/>
    <x v="0"/>
    <n v="2023"/>
    <n v="10335.700000000001"/>
    <n v="346849"/>
    <n v="9107"/>
    <n v="845"/>
    <n v="6916.99"/>
    <n v="2.6256382460379011"/>
    <n v="0.75952454156143623"/>
    <n v="8.185786982248521"/>
    <n v="1.4942482206855874"/>
    <s v="🟡 Mid"/>
  </r>
  <r>
    <n v="695"/>
    <s v="Go_Search_Brand_2024"/>
    <x v="1"/>
    <s v="Retargeting"/>
    <s v="North"/>
    <s v="Desktop"/>
    <s v="45-54"/>
    <x v="1"/>
    <x v="1"/>
    <n v="2024"/>
    <n v="15046.17"/>
    <n v="208846"/>
    <n v="5725"/>
    <n v="396"/>
    <n v="14823.45"/>
    <n v="2.7412543213659828"/>
    <n v="2.5892489082969434"/>
    <n v="37.43295454545455"/>
    <n v="1.015024842394989"/>
    <s v="🟡 Mid"/>
  </r>
  <r>
    <n v="696"/>
    <s v="Fa_Instant_Experience_2023"/>
    <x v="2"/>
    <s v="Retargeting"/>
    <s v="West"/>
    <s v="Desktop"/>
    <s v="18-24"/>
    <x v="10"/>
    <x v="1"/>
    <n v="2023"/>
    <n v="14414.84"/>
    <n v="463986"/>
    <n v="7629"/>
    <n v="543"/>
    <n v="13615.96"/>
    <n v="1.6442306448901476"/>
    <n v="1.7847634028050858"/>
    <n v="25.075432780847144"/>
    <n v="1.0586723227741563"/>
    <s v="🟡 Mid"/>
  </r>
  <r>
    <n v="697"/>
    <s v="Go_Shopping_2023"/>
    <x v="1"/>
    <s v="Brand Awareness"/>
    <s v="Central"/>
    <s v="Desktop"/>
    <s v="25-34"/>
    <x v="5"/>
    <x v="2"/>
    <n v="2023"/>
    <n v="10925.75"/>
    <n v="414835"/>
    <n v="13132"/>
    <n v="67"/>
    <n v="7809.35"/>
    <n v="3.1655959598394539"/>
    <n v="0.59468093207432227"/>
    <n v="116.55746268656716"/>
    <n v="1.3990601010327364"/>
    <s v="🟢 High"/>
  </r>
  <r>
    <n v="698"/>
    <s v="Fa_Lead_Form_2023"/>
    <x v="2"/>
    <s v="Lead Generation"/>
    <s v="South"/>
    <s v="Tablet"/>
    <s v="18-24"/>
    <x v="3"/>
    <x v="3"/>
    <n v="2023"/>
    <n v="9120.1299999999992"/>
    <n v="55075"/>
    <n v="1239"/>
    <n v="111"/>
    <n v="8580.5400000000009"/>
    <n v="2.2496595551520655"/>
    <n v="6.925375302663439"/>
    <n v="77.302162162162176"/>
    <n v="1.0628853195719614"/>
    <s v="🟡 Mid"/>
  </r>
  <r>
    <n v="699"/>
    <s v="Di_Rich_Media_2023"/>
    <x v="0"/>
    <s v="Retargeting"/>
    <s v="East"/>
    <s v="Mobile"/>
    <s v="18-24"/>
    <x v="9"/>
    <x v="3"/>
    <n v="2023"/>
    <n v="1448.96"/>
    <n v="400727"/>
    <n v="3299"/>
    <n v="296"/>
    <n v="1014.54"/>
    <n v="0.8232537363342125"/>
    <n v="0.3075295544104274"/>
    <n v="3.4274999999999998"/>
    <n v="1.4281940583909951"/>
    <s v="🔴 Low"/>
  </r>
  <r>
    <n v="700"/>
    <s v="Go_Search_Brand_2023"/>
    <x v="1"/>
    <s v="Retargeting"/>
    <s v="North"/>
    <s v="Desktop"/>
    <s v="35-44"/>
    <x v="11"/>
    <x v="2"/>
    <n v="2023"/>
    <n v="4801.07"/>
    <n v="106295"/>
    <n v="1761"/>
    <n v="217"/>
    <n v="4555.2"/>
    <n v="1.6567100992520813"/>
    <n v="2.5867120954003404"/>
    <n v="20.991705069124421"/>
    <n v="1.0539756761503336"/>
    <s v="🟡 Mid"/>
  </r>
  <r>
    <n v="701"/>
    <s v="Go_Shopping_2024"/>
    <x v="1"/>
    <s v="Brand Awareness"/>
    <s v="West"/>
    <s v="Tablet"/>
    <s v="18-24"/>
    <x v="2"/>
    <x v="2"/>
    <n v="2024"/>
    <n v="11460.06"/>
    <n v="203754"/>
    <n v="4020"/>
    <n v="43"/>
    <n v="8935.52"/>
    <n v="1.9729674018669572"/>
    <n v="2.2227661691542289"/>
    <n v="207.80279069767442"/>
    <n v="1.2825286049384925"/>
    <s v="🟡 Mid"/>
  </r>
  <r>
    <n v="702"/>
    <s v="Go_PMax_2024"/>
    <x v="1"/>
    <s v="Brand Awareness"/>
    <s v="East"/>
    <s v="Mobile"/>
    <s v="25-34"/>
    <x v="8"/>
    <x v="0"/>
    <n v="2024"/>
    <n v="13252.86"/>
    <n v="17563"/>
    <n v="347"/>
    <n v="3"/>
    <n v="10505.36"/>
    <n v="1.9757444627910947"/>
    <n v="30.274812680115275"/>
    <n v="3501.7866666666669"/>
    <n v="1.2615331602153568"/>
    <s v="🟡 Mid"/>
  </r>
  <r>
    <n v="703"/>
    <s v="Go_YouTube_PreRoll_2024"/>
    <x v="1"/>
    <s v="Traffic"/>
    <s v="East"/>
    <s v="Desktop"/>
    <s v="18-24"/>
    <x v="11"/>
    <x v="2"/>
    <n v="2024"/>
    <n v="6379.92"/>
    <n v="632959"/>
    <n v="8067"/>
    <n v="253"/>
    <n v="5948.19"/>
    <n v="1.2744901328522069"/>
    <n v="0.73734845667534399"/>
    <n v="23.510632411067192"/>
    <n v="1.0725817433538607"/>
    <s v="🔴 Low"/>
  </r>
  <r>
    <n v="704"/>
    <s v="Di_Native_2024"/>
    <x v="0"/>
    <s v="Conversions"/>
    <s v="North"/>
    <s v="Tablet"/>
    <s v="35-44"/>
    <x v="3"/>
    <x v="3"/>
    <n v="2024"/>
    <n v="13719.06"/>
    <n v="732418"/>
    <n v="5156"/>
    <n v="305"/>
    <n v="9241.69"/>
    <n v="0.70396959113511681"/>
    <n v="1.7924146625290924"/>
    <n v="30.300622950819672"/>
    <n v="1.4844752420823464"/>
    <s v="🔴 Low"/>
  </r>
  <r>
    <n v="705"/>
    <s v="Di_Retargeting_Display_2024"/>
    <x v="0"/>
    <s v="Retargeting"/>
    <s v="North"/>
    <s v="Mobile"/>
    <s v="18-24"/>
    <x v="9"/>
    <x v="3"/>
    <n v="2024"/>
    <n v="7956.24"/>
    <n v="676709"/>
    <n v="4531"/>
    <n v="527"/>
    <n v="4818.16"/>
    <n v="0.66956402234934065"/>
    <n v="1.0633767380269257"/>
    <n v="9.1426185958254269"/>
    <n v="1.6513025719361749"/>
    <s v="🔴 Low"/>
  </r>
  <r>
    <n v="706"/>
    <s v="Go_Search_Generic_2023"/>
    <x v="1"/>
    <s v="Conversions"/>
    <s v="South"/>
    <s v="Tablet"/>
    <s v="45-54"/>
    <x v="11"/>
    <x v="2"/>
    <n v="2023"/>
    <n v="1668.5"/>
    <n v="397716"/>
    <n v="8786"/>
    <n v="746"/>
    <n v="1142.6600000000001"/>
    <n v="2.2091140411751096"/>
    <n v="0.13005463236967904"/>
    <n v="1.5317158176943702"/>
    <n v="1.4601893826685102"/>
    <s v="🟡 Mid"/>
  </r>
  <r>
    <n v="707"/>
    <s v="Fa_Reels_2024"/>
    <x v="2"/>
    <s v="Brand Awareness"/>
    <s v="South"/>
    <s v="Tablet"/>
    <s v="55+"/>
    <x v="4"/>
    <x v="1"/>
    <n v="2024"/>
    <n v="3118.21"/>
    <n v="337963"/>
    <n v="3636"/>
    <n v="46"/>
    <n v="3151.2"/>
    <n v="1.0758574163443926"/>
    <n v="0.86666666666666659"/>
    <n v="68.504347826086956"/>
    <n v="0.98953097232800213"/>
    <s v="🔴 Low"/>
  </r>
  <r>
    <n v="708"/>
    <s v="Di_Programmatic_2023"/>
    <x v="0"/>
    <s v="Brand Awareness"/>
    <s v="South"/>
    <s v="Tablet"/>
    <s v="35-44"/>
    <x v="2"/>
    <x v="2"/>
    <n v="2023"/>
    <n v="4513.4399999999996"/>
    <n v="61700"/>
    <n v="30"/>
    <n v="0"/>
    <n v="3968.68"/>
    <n v="4.8622366288492702E-2"/>
    <n v="132.28933333333333"/>
    <s v="-"/>
    <n v="1.1372647832528699"/>
    <s v="🔴 Low"/>
  </r>
  <r>
    <n v="709"/>
    <s v="Go_PMax_2024"/>
    <x v="1"/>
    <s v="Traffic"/>
    <s v="West"/>
    <s v="Tablet"/>
    <s v="35-44"/>
    <x v="0"/>
    <x v="0"/>
    <n v="2024"/>
    <n v="12780.76"/>
    <n v="72755"/>
    <n v="2131"/>
    <n v="33"/>
    <n v="11073.69"/>
    <n v="2.9290083155796851"/>
    <n v="5.1964758329422809"/>
    <n v="335.56636363636363"/>
    <n v="1.1541554802419067"/>
    <s v="🟡 Mid"/>
  </r>
  <r>
    <n v="710"/>
    <s v="Go_PMax_2023"/>
    <x v="1"/>
    <s v="Lead Generation"/>
    <s v="North"/>
    <s v="Desktop"/>
    <s v="55+"/>
    <x v="10"/>
    <x v="1"/>
    <n v="2023"/>
    <n v="5108.05"/>
    <n v="86961"/>
    <n v="2314"/>
    <n v="151"/>
    <n v="4066.88"/>
    <n v="2.6609629604075389"/>
    <n v="1.7575108038029388"/>
    <n v="26.932980132450332"/>
    <n v="1.2560119796994256"/>
    <s v="🟡 Mid"/>
  </r>
  <r>
    <n v="711"/>
    <s v="Go_PMax_2024"/>
    <x v="1"/>
    <s v="Lead Generation"/>
    <s v="West"/>
    <s v="Desktop"/>
    <s v="55+"/>
    <x v="11"/>
    <x v="2"/>
    <n v="2024"/>
    <n v="6064.38"/>
    <n v="475046"/>
    <n v="14861"/>
    <n v="1363"/>
    <n v="4864.1899999999996"/>
    <n v="3.1283286250173665"/>
    <n v="0.32731242850413833"/>
    <n v="3.5687380777696256"/>
    <n v="1.2467399505364718"/>
    <s v="🟢 High"/>
  </r>
  <r>
    <n v="712"/>
    <s v="Fa_Messenger_2024"/>
    <x v="2"/>
    <s v="Retargeting"/>
    <s v="South"/>
    <s v="Mobile"/>
    <s v="45-54"/>
    <x v="1"/>
    <x v="1"/>
    <n v="2024"/>
    <n v="15326.33"/>
    <n v="510414"/>
    <n v="7821"/>
    <n v="481"/>
    <n v="11651.02"/>
    <n v="1.5322855564306621"/>
    <n v="1.4897097557857053"/>
    <n v="24.222494802494804"/>
    <n v="1.3154496344526059"/>
    <s v="🟡 Mid"/>
  </r>
  <r>
    <n v="713"/>
    <s v="Go_YouTube_PreRoll_2023"/>
    <x v="1"/>
    <s v="Traffic"/>
    <s v="Central"/>
    <s v="Desktop"/>
    <s v="55+"/>
    <x v="6"/>
    <x v="3"/>
    <n v="2023"/>
    <n v="5517.19"/>
    <n v="491173"/>
    <n v="13063"/>
    <n v="350"/>
    <n v="4424.54"/>
    <n v="2.6595517261738735"/>
    <n v="0.33870780065834799"/>
    <n v="12.641542857142857"/>
    <n v="1.2469522255420902"/>
    <s v="🟡 Mid"/>
  </r>
  <r>
    <n v="714"/>
    <s v="Fa_Carousel_2023"/>
    <x v="2"/>
    <s v="Retargeting"/>
    <s v="South"/>
    <s v="Desktop"/>
    <s v="25-34"/>
    <x v="8"/>
    <x v="0"/>
    <n v="2023"/>
    <n v="17302.27"/>
    <n v="770847"/>
    <n v="15287"/>
    <n v="1804"/>
    <n v="13952.73"/>
    <n v="1.9831432177851116"/>
    <n v="0.91271864983319162"/>
    <n v="7.734329268292683"/>
    <n v="1.2400634141132238"/>
    <s v="🟡 Mid"/>
  </r>
  <r>
    <n v="715"/>
    <s v="Fa_Messenger_2023"/>
    <x v="2"/>
    <s v="Conversions"/>
    <s v="West"/>
    <s v="Mobile"/>
    <s v="35-44"/>
    <x v="3"/>
    <x v="3"/>
    <n v="2023"/>
    <n v="8471.36"/>
    <n v="45712"/>
    <n v="849"/>
    <n v="97"/>
    <n v="5660.5"/>
    <n v="1.857280364018201"/>
    <n v="6.6672555948174326"/>
    <n v="58.355670103092784"/>
    <n v="1.4965745075523365"/>
    <s v="🟡 Mid"/>
  </r>
  <r>
    <n v="716"/>
    <s v="Fa_Stories_2024"/>
    <x v="2"/>
    <s v="Conversions"/>
    <s v="Central"/>
    <s v="Tablet"/>
    <s v="45-54"/>
    <x v="3"/>
    <x v="3"/>
    <n v="2024"/>
    <n v="14080.88"/>
    <n v="687524"/>
    <n v="10916"/>
    <n v="840"/>
    <n v="10956.29"/>
    <n v="1.5877263920968578"/>
    <n v="1.0036909124221327"/>
    <n v="13.043202380952382"/>
    <n v="1.2851868652618723"/>
    <s v="🟡 Mid"/>
  </r>
  <r>
    <n v="717"/>
    <s v="Go_PMax_2023"/>
    <x v="1"/>
    <s v="Retargeting"/>
    <s v="North"/>
    <s v="Mobile"/>
    <s v="18-24"/>
    <x v="6"/>
    <x v="3"/>
    <n v="2023"/>
    <n v="5595.95"/>
    <n v="482595"/>
    <n v="14792"/>
    <n v="1180"/>
    <n v="4716.8500000000004"/>
    <n v="3.0650959914628206"/>
    <n v="0.31887844780962687"/>
    <n v="3.9973305084745765"/>
    <n v="1.1863743812077974"/>
    <s v="🟢 High"/>
  </r>
  <r>
    <n v="718"/>
    <s v="Di_Native_2023"/>
    <x v="0"/>
    <s v="Brand Awareness"/>
    <s v="North"/>
    <s v="Desktop"/>
    <s v="45-54"/>
    <x v="1"/>
    <x v="1"/>
    <n v="2023"/>
    <n v="10611.47"/>
    <n v="202995"/>
    <n v="1224"/>
    <n v="22"/>
    <n v="7105.93"/>
    <n v="0.60297051651518507"/>
    <n v="5.8054983660130723"/>
    <n v="322.99681818181818"/>
    <n v="1.4933259967379355"/>
    <s v="🔴 Low"/>
  </r>
  <r>
    <n v="719"/>
    <s v="Fa_Stories_2024"/>
    <x v="2"/>
    <s v="Conversions"/>
    <s v="Central"/>
    <s v="Tablet"/>
    <s v="45-54"/>
    <x v="9"/>
    <x v="3"/>
    <n v="2024"/>
    <n v="14811.7"/>
    <n v="794013"/>
    <n v="17271"/>
    <n v="970"/>
    <n v="12844.64"/>
    <n v="2.1751533035353323"/>
    <n v="0.74371142377395627"/>
    <n v="13.241896907216494"/>
    <n v="1.1531424781075998"/>
    <s v="🟡 Mid"/>
  </r>
  <r>
    <n v="720"/>
    <s v="Fa_Carousel_2024"/>
    <x v="2"/>
    <s v="Conversions"/>
    <s v="South"/>
    <s v="Tablet"/>
    <s v="45-54"/>
    <x v="6"/>
    <x v="3"/>
    <n v="2024"/>
    <n v="625.20000000000005"/>
    <n v="181578"/>
    <n v="1878"/>
    <n v="201"/>
    <n v="375.53"/>
    <n v="1.0342662657370387"/>
    <n v="0.19996272630457931"/>
    <n v="1.8683084577114426"/>
    <n v="1.6648470162170801"/>
    <s v="🔴 Low"/>
  </r>
  <r>
    <n v="721"/>
    <s v="Go_Smart_Campaign_2024"/>
    <x v="1"/>
    <s v="Traffic"/>
    <s v="West"/>
    <s v="Tablet"/>
    <s v="35-44"/>
    <x v="6"/>
    <x v="3"/>
    <n v="2024"/>
    <n v="3827.37"/>
    <n v="397850"/>
    <n v="11555"/>
    <n v="284"/>
    <n v="3104.37"/>
    <n v="2.9043609400527837"/>
    <n v="0.26866032020770231"/>
    <n v="10.93088028169014"/>
    <n v="1.2328974961103218"/>
    <s v="🟡 Mid"/>
  </r>
  <r>
    <n v="722"/>
    <s v="Go_Discovery_2023"/>
    <x v="1"/>
    <s v="Traffic"/>
    <s v="South"/>
    <s v="Desktop"/>
    <s v="25-34"/>
    <x v="8"/>
    <x v="0"/>
    <n v="2023"/>
    <n v="16278.98"/>
    <n v="206205"/>
    <n v="6283"/>
    <n v="111"/>
    <n v="15936.39"/>
    <n v="3.0469678232826558"/>
    <n v="2.5364300493394873"/>
    <n v="143.57108108108108"/>
    <n v="1.0214973403637837"/>
    <s v="🟢 High"/>
  </r>
  <r>
    <n v="723"/>
    <s v="Fa_Instant_Experience_2024"/>
    <x v="2"/>
    <s v="Traffic"/>
    <s v="North"/>
    <s v="Tablet"/>
    <s v="25-34"/>
    <x v="7"/>
    <x v="0"/>
    <n v="2024"/>
    <n v="2171.29"/>
    <n v="135738"/>
    <n v="2067"/>
    <n v="56"/>
    <n v="1738.59"/>
    <n v="1.5227865446669318"/>
    <n v="0.84111756168359941"/>
    <n v="31.046249999999997"/>
    <n v="1.2488798394100966"/>
    <s v="🟡 Mid"/>
  </r>
  <r>
    <n v="724"/>
    <s v="Di_Rich_Media_2023"/>
    <x v="0"/>
    <s v="Brand Awareness"/>
    <s v="North"/>
    <s v="Mobile"/>
    <s v="18-24"/>
    <x v="3"/>
    <x v="3"/>
    <n v="2023"/>
    <n v="2388.42"/>
    <n v="552707"/>
    <n v="6362"/>
    <n v="107"/>
    <n v="1809.9"/>
    <n v="1.1510619550684178"/>
    <n v="0.28448601068846274"/>
    <n v="16.91495327102804"/>
    <n v="1.3196419691695673"/>
    <s v="🔴 Low"/>
  </r>
  <r>
    <n v="725"/>
    <s v="Di_Programmatic_2024"/>
    <x v="0"/>
    <s v="Retargeting"/>
    <s v="West"/>
    <s v="Mobile"/>
    <s v="55+"/>
    <x v="1"/>
    <x v="1"/>
    <n v="2024"/>
    <n v="7730.31"/>
    <n v="364742"/>
    <n v="5913"/>
    <n v="799"/>
    <n v="6797.52"/>
    <n v="1.6211459058731927"/>
    <n v="1.1495890410958904"/>
    <n v="8.5075344180225283"/>
    <n v="1.1372250467817675"/>
    <s v="🟡 Mid"/>
  </r>
  <r>
    <n v="726"/>
    <s v="Fa_Feed_Image_2024"/>
    <x v="2"/>
    <s v="Conversions"/>
    <s v="East"/>
    <s v="Desktop"/>
    <s v="18-24"/>
    <x v="4"/>
    <x v="1"/>
    <n v="2024"/>
    <n v="14641.79"/>
    <n v="150608"/>
    <n v="2404"/>
    <n v="124"/>
    <n v="9540.82"/>
    <n v="1.5961967491766704"/>
    <n v="3.9687271214642261"/>
    <n v="76.942096774193544"/>
    <n v="1.534646917141294"/>
    <s v="🟡 Mid"/>
  </r>
  <r>
    <n v="727"/>
    <s v="Di_Programmatic_2024"/>
    <x v="0"/>
    <s v="Lead Generation"/>
    <s v="East"/>
    <s v="Mobile"/>
    <s v="55+"/>
    <x v="3"/>
    <x v="3"/>
    <n v="2024"/>
    <n v="10540.82"/>
    <n v="697299"/>
    <n v="8759"/>
    <n v="853"/>
    <n v="9922.07"/>
    <n v="1.2561325916142143"/>
    <n v="1.1327857061308368"/>
    <n v="11.631969519343492"/>
    <n v="1.0623609791102058"/>
    <s v="🔴 Low"/>
  </r>
  <r>
    <n v="728"/>
    <s v="Go_Search_Competitor_2024"/>
    <x v="1"/>
    <s v="Brand Awareness"/>
    <s v="East"/>
    <s v="Tablet"/>
    <s v="45-54"/>
    <x v="11"/>
    <x v="2"/>
    <n v="2024"/>
    <n v="8303.2199999999993"/>
    <n v="647349"/>
    <n v="26886"/>
    <n v="454"/>
    <n v="6196.7"/>
    <n v="4.1532465486159706"/>
    <n v="0.23048054749683849"/>
    <n v="13.649118942731278"/>
    <n v="1.3399422273145383"/>
    <s v="🟢 High"/>
  </r>
  <r>
    <n v="729"/>
    <s v="Fa_Feed_Video_2023"/>
    <x v="2"/>
    <s v="Retargeting"/>
    <s v="East"/>
    <s v="Tablet"/>
    <s v="25-34"/>
    <x v="6"/>
    <x v="3"/>
    <n v="2023"/>
    <n v="17462.25"/>
    <n v="604672"/>
    <n v="10718"/>
    <n v="670"/>
    <n v="14129.2"/>
    <n v="1.7725312235393735"/>
    <n v="1.3182683336443366"/>
    <n v="21.088358208955224"/>
    <n v="1.235897998471251"/>
    <s v="🟡 Mid"/>
  </r>
  <r>
    <n v="730"/>
    <s v="Go_YouTube_PreRoll_2024"/>
    <x v="1"/>
    <s v="Traffic"/>
    <s v="West"/>
    <s v="Desktop"/>
    <s v="45-54"/>
    <x v="7"/>
    <x v="0"/>
    <n v="2024"/>
    <n v="13421.52"/>
    <n v="257603"/>
    <n v="5216"/>
    <n v="90"/>
    <n v="9013.65"/>
    <n v="2.024821139505363"/>
    <n v="1.7280770705521471"/>
    <n v="100.15166666666666"/>
    <n v="1.4890216504967466"/>
    <s v="🟡 Mid"/>
  </r>
  <r>
    <n v="731"/>
    <s v="Di_Rich_Media_2024"/>
    <x v="0"/>
    <s v="Brand Awareness"/>
    <s v="West"/>
    <s v="Tablet"/>
    <s v="18-24"/>
    <x v="0"/>
    <x v="0"/>
    <n v="2024"/>
    <n v="18101.650000000001"/>
    <n v="298976"/>
    <n v="2306"/>
    <n v="28"/>
    <n v="17684.490000000002"/>
    <n v="0.77129936851118486"/>
    <n v="7.6689028620988733"/>
    <n v="631.5889285714286"/>
    <n v="1.0235890319709531"/>
    <s v="🔴 Low"/>
  </r>
  <r>
    <n v="732"/>
    <s v="Go_Shopping_2023"/>
    <x v="1"/>
    <s v="Traffic"/>
    <s v="West"/>
    <s v="Desktop"/>
    <s v="35-44"/>
    <x v="11"/>
    <x v="2"/>
    <n v="2023"/>
    <n v="13057.74"/>
    <n v="400323"/>
    <n v="12727"/>
    <n v="474"/>
    <n v="11909.27"/>
    <n v="3.1791828098810213"/>
    <n v="0.9357484088944763"/>
    <n v="25.125042194092828"/>
    <n v="1.0964349620085865"/>
    <s v="🟢 High"/>
  </r>
  <r>
    <n v="733"/>
    <s v="Di_Video_Display_2023"/>
    <x v="0"/>
    <s v="Traffic"/>
    <s v="West"/>
    <s v="Desktop"/>
    <s v="25-34"/>
    <x v="5"/>
    <x v="2"/>
    <n v="2023"/>
    <n v="6174.04"/>
    <n v="121793"/>
    <n v="1700"/>
    <n v="64"/>
    <n v="5635.29"/>
    <n v="1.3958109250942172"/>
    <n v="3.3148764705882354"/>
    <n v="88.051406249999999"/>
    <n v="1.0956028882275801"/>
    <s v="🔴 Low"/>
  </r>
  <r>
    <n v="734"/>
    <s v="Go_Search_Competitor_2023"/>
    <x v="1"/>
    <s v="Lead Generation"/>
    <s v="East"/>
    <s v="Mobile"/>
    <s v="55+"/>
    <x v="6"/>
    <x v="3"/>
    <n v="2023"/>
    <n v="6560.58"/>
    <n v="623722"/>
    <n v="20185"/>
    <n v="1456"/>
    <n v="6270.54"/>
    <n v="3.2362174173750486"/>
    <n v="0.31065345553628931"/>
    <n v="4.3066895604395601"/>
    <n v="1.0462543895741037"/>
    <s v="🟢 High"/>
  </r>
  <r>
    <n v="735"/>
    <s v="Fa_Lead_Form_2023"/>
    <x v="2"/>
    <s v="Conversions"/>
    <s v="South"/>
    <s v="Tablet"/>
    <s v="55+"/>
    <x v="9"/>
    <x v="3"/>
    <n v="2023"/>
    <n v="2578.4299999999998"/>
    <n v="14634"/>
    <n v="155"/>
    <n v="9"/>
    <n v="2568.15"/>
    <n v="1.0591772584392511"/>
    <n v="16.568709677419356"/>
    <n v="285.35000000000002"/>
    <n v="1.0040028814516284"/>
    <s v="🔴 Low"/>
  </r>
  <r>
    <n v="736"/>
    <s v="Go_Discovery_2023"/>
    <x v="1"/>
    <s v="Retargeting"/>
    <s v="South"/>
    <s v="Tablet"/>
    <s v="35-44"/>
    <x v="0"/>
    <x v="0"/>
    <n v="2023"/>
    <n v="12178.17"/>
    <n v="328896"/>
    <n v="8773"/>
    <n v="878"/>
    <n v="10828.97"/>
    <n v="2.6674085425179994"/>
    <n v="1.2343519890573349"/>
    <n v="12.333678815489749"/>
    <n v="1.1245917201728328"/>
    <s v="🟡 Mid"/>
  </r>
  <r>
    <n v="737"/>
    <s v="Fa_Instant_Experience_2024"/>
    <x v="2"/>
    <s v="Lead Generation"/>
    <s v="West"/>
    <s v="Mobile"/>
    <s v="45-54"/>
    <x v="8"/>
    <x v="0"/>
    <n v="2024"/>
    <n v="3477.69"/>
    <n v="756583"/>
    <n v="13610"/>
    <n v="1206"/>
    <n v="3109.65"/>
    <n v="1.7988773207962643"/>
    <n v="0.22848273328434976"/>
    <n v="2.5784825870646766"/>
    <n v="1.118354155612368"/>
    <s v="🟡 Mid"/>
  </r>
  <r>
    <n v="738"/>
    <s v="Go_Shopping_2024"/>
    <x v="1"/>
    <s v="Retargeting"/>
    <s v="West"/>
    <s v="Mobile"/>
    <s v="25-34"/>
    <x v="8"/>
    <x v="0"/>
    <n v="2024"/>
    <n v="7079.5"/>
    <n v="715828"/>
    <n v="25679"/>
    <n v="2513"/>
    <n v="5283.35"/>
    <n v="3.5873142710260009"/>
    <n v="0.20574594026247128"/>
    <n v="2.1024074810982891"/>
    <n v="1.3399642272421852"/>
    <s v="🟢 High"/>
  </r>
  <r>
    <n v="739"/>
    <s v="Fa_Messenger_2023"/>
    <x v="2"/>
    <s v="Brand Awareness"/>
    <s v="Central"/>
    <s v="Tablet"/>
    <s v="35-44"/>
    <x v="5"/>
    <x v="2"/>
    <n v="2023"/>
    <n v="14171.62"/>
    <n v="579630"/>
    <n v="8068"/>
    <n v="131"/>
    <n v="11957.46"/>
    <n v="1.3919224332764004"/>
    <n v="1.4820847793753098"/>
    <n v="91.278320610687018"/>
    <n v="1.1851697601330049"/>
    <s v="🔴 Low"/>
  </r>
  <r>
    <n v="740"/>
    <s v="Go_YouTube_PreRoll_2024"/>
    <x v="1"/>
    <s v="Retargeting"/>
    <s v="South"/>
    <s v="Tablet"/>
    <s v="25-34"/>
    <x v="4"/>
    <x v="1"/>
    <n v="2024"/>
    <n v="6176.09"/>
    <n v="156857"/>
    <n v="4649"/>
    <n v="356"/>
    <n v="5792.13"/>
    <n v="2.9638460508616129"/>
    <n v="1.2458872875887288"/>
    <n v="16.270028089887642"/>
    <n v="1.0662899486026729"/>
    <s v="🟡 Mid"/>
  </r>
  <r>
    <n v="741"/>
    <s v="Go_Search_Brand_2024"/>
    <x v="1"/>
    <s v="Conversions"/>
    <s v="Central"/>
    <s v="Desktop"/>
    <s v="25-34"/>
    <x v="1"/>
    <x v="1"/>
    <n v="2024"/>
    <n v="13749.18"/>
    <n v="181394"/>
    <n v="5443"/>
    <n v="643"/>
    <n v="9286.83"/>
    <n v="3.0006505176576952"/>
    <n v="1.7061969502112806"/>
    <n v="14.442970451010886"/>
    <n v="1.4805030349430324"/>
    <s v="🟢 High"/>
  </r>
  <r>
    <n v="742"/>
    <s v="Go_Search_Generic_2024"/>
    <x v="1"/>
    <s v="Traffic"/>
    <s v="East"/>
    <s v="Tablet"/>
    <s v="45-54"/>
    <x v="0"/>
    <x v="0"/>
    <n v="2024"/>
    <n v="5277.52"/>
    <n v="129573"/>
    <n v="3497"/>
    <n v="60"/>
    <n v="4249.58"/>
    <n v="2.6988647326217654"/>
    <n v="1.2152073205604803"/>
    <n v="70.826333333333338"/>
    <n v="1.2418921399291225"/>
    <s v="🟡 Mid"/>
  </r>
  <r>
    <n v="743"/>
    <s v="Di_Native_2024"/>
    <x v="0"/>
    <s v="Retargeting"/>
    <s v="North"/>
    <s v="Mobile"/>
    <s v="45-54"/>
    <x v="5"/>
    <x v="2"/>
    <n v="2024"/>
    <n v="7662.8"/>
    <n v="130829"/>
    <n v="1163"/>
    <n v="129"/>
    <n v="7521.51"/>
    <n v="0.88894664027088788"/>
    <n v="6.467334479793637"/>
    <n v="58.306279069767442"/>
    <n v="1.0187847918835446"/>
    <s v="🔴 Low"/>
  </r>
  <r>
    <n v="744"/>
    <s v="Go_Search_Brand_2023"/>
    <x v="1"/>
    <s v="Traffic"/>
    <s v="Central"/>
    <s v="Tablet"/>
    <s v="45-54"/>
    <x v="5"/>
    <x v="2"/>
    <n v="2023"/>
    <n v="15989.7"/>
    <n v="194893"/>
    <n v="5789"/>
    <n v="124"/>
    <n v="16309.19"/>
    <n v="2.9703478318872407"/>
    <n v="2.8172724131974434"/>
    <n v="131.52572580645162"/>
    <n v="0.98041043117408044"/>
    <s v="🟡 Mid"/>
  </r>
  <r>
    <n v="745"/>
    <s v="Di_Video_Display_2023"/>
    <x v="0"/>
    <s v="Conversions"/>
    <s v="Central"/>
    <s v="Desktop"/>
    <s v="18-24"/>
    <x v="2"/>
    <x v="2"/>
    <n v="2023"/>
    <n v="14418.48"/>
    <n v="568621"/>
    <n v="6050"/>
    <n v="310"/>
    <n v="12018.46"/>
    <n v="1.0639775878836695"/>
    <n v="1.9865223140495867"/>
    <n v="38.769225806451608"/>
    <n v="1.1996944700069727"/>
    <s v="🔴 Low"/>
  </r>
  <r>
    <n v="746"/>
    <s v="Di_Responsive_2023"/>
    <x v="0"/>
    <s v="Brand Awareness"/>
    <s v="Central"/>
    <s v="Tablet"/>
    <s v="55+"/>
    <x v="6"/>
    <x v="3"/>
    <n v="2023"/>
    <n v="15193.41"/>
    <n v="222541"/>
    <n v="3426"/>
    <n v="66"/>
    <n v="14843.85"/>
    <n v="1.5394915993008029"/>
    <n v="4.3327057793345007"/>
    <n v="224.90681818181818"/>
    <n v="1.0235491466162754"/>
    <s v="🟡 Mid"/>
  </r>
  <r>
    <n v="747"/>
    <s v="Go_Shopping_2023"/>
    <x v="1"/>
    <s v="Brand Awareness"/>
    <s v="Central"/>
    <s v="Mobile"/>
    <s v="35-44"/>
    <x v="7"/>
    <x v="0"/>
    <n v="2023"/>
    <n v="3011.91"/>
    <n v="221247"/>
    <n v="5922"/>
    <n v="52"/>
    <n v="2759.78"/>
    <n v="2.6766464630028883"/>
    <n v="0.46602161431948669"/>
    <n v="53.072692307692314"/>
    <n v="1.0913587314930899"/>
    <s v="🟡 Mid"/>
  </r>
  <r>
    <n v="748"/>
    <s v="Go_Search_Generic_2024"/>
    <x v="1"/>
    <s v="Traffic"/>
    <s v="East"/>
    <s v="Mobile"/>
    <s v="55+"/>
    <x v="0"/>
    <x v="0"/>
    <n v="2024"/>
    <n v="19553.509999999998"/>
    <n v="695130"/>
    <n v="18243"/>
    <n v="182"/>
    <n v="14200.78"/>
    <n v="2.6244011911441025"/>
    <n v="0.77842350490599133"/>
    <n v="78.026263736263743"/>
    <n v="1.3769321121797533"/>
    <s v="🟡 Mid"/>
  </r>
  <r>
    <n v="749"/>
    <s v="Di_Programmatic_2024"/>
    <x v="0"/>
    <s v="Traffic"/>
    <s v="West"/>
    <s v="Desktop"/>
    <s v="55+"/>
    <x v="4"/>
    <x v="1"/>
    <n v="2024"/>
    <n v="10691.99"/>
    <n v="374221"/>
    <n v="862"/>
    <n v="26"/>
    <n v="9390.77"/>
    <n v="0.23034517036724286"/>
    <n v="10.894164733178656"/>
    <n v="361.18346153846153"/>
    <n v="1.1385637173522511"/>
    <s v="🔴 Low"/>
  </r>
  <r>
    <n v="750"/>
    <s v="Go_PMax_2023"/>
    <x v="1"/>
    <s v="Brand Awareness"/>
    <s v="South"/>
    <s v="Desktop"/>
    <s v="35-44"/>
    <x v="11"/>
    <x v="2"/>
    <n v="2023"/>
    <n v="12241.82"/>
    <n v="231534"/>
    <n v="5626"/>
    <n v="78"/>
    <n v="8771.34"/>
    <n v="2.4298807086648182"/>
    <n v="1.5590721649484536"/>
    <n v="112.45307692307692"/>
    <n v="1.3956613242674436"/>
    <s v="🟡 Mid"/>
  </r>
  <r>
    <n v="751"/>
    <s v="Di_Video_Display_2023"/>
    <x v="0"/>
    <s v="Brand Awareness"/>
    <s v="Central"/>
    <s v="Mobile"/>
    <s v="35-44"/>
    <x v="1"/>
    <x v="1"/>
    <n v="2023"/>
    <n v="8301.16"/>
    <n v="92298"/>
    <n v="1298"/>
    <n v="24"/>
    <n v="5480.11"/>
    <n v="1.4063143296712821"/>
    <n v="4.2219645608628653"/>
    <n v="228.33791666666664"/>
    <n v="1.5147798128139764"/>
    <s v="🔴 Low"/>
  </r>
  <r>
    <n v="752"/>
    <s v="Go_Search_Generic_2023"/>
    <x v="1"/>
    <s v="Conversions"/>
    <s v="South"/>
    <s v="Tablet"/>
    <s v="35-44"/>
    <x v="9"/>
    <x v="3"/>
    <n v="2023"/>
    <n v="8683.89"/>
    <n v="165947"/>
    <n v="4222"/>
    <n v="304"/>
    <n v="8083.57"/>
    <n v="2.5441857942596133"/>
    <n v="1.9146305068687826"/>
    <n v="26.590690789473683"/>
    <n v="1.0742642174187889"/>
    <s v="🟡 Mid"/>
  </r>
  <r>
    <n v="753"/>
    <s v="Fa_Feed_Image_2023"/>
    <x v="2"/>
    <s v="Traffic"/>
    <s v="South"/>
    <s v="Desktop"/>
    <s v="35-44"/>
    <x v="7"/>
    <x v="0"/>
    <n v="2023"/>
    <n v="13837.6"/>
    <n v="431541"/>
    <n v="9728"/>
    <n v="203"/>
    <n v="10240.89"/>
    <n v="2.2542469892779597"/>
    <n v="1.0527230674342105"/>
    <n v="50.447733990147782"/>
    <n v="1.3512106857900046"/>
    <s v="🟡 Mid"/>
  </r>
  <r>
    <n v="754"/>
    <s v="Fa_Carousel_2023"/>
    <x v="2"/>
    <s v="Lead Generation"/>
    <s v="East"/>
    <s v="Desktop"/>
    <s v="18-24"/>
    <x v="1"/>
    <x v="1"/>
    <n v="2023"/>
    <n v="7883.33"/>
    <n v="115103"/>
    <n v="2172"/>
    <n v="188"/>
    <n v="5138.92"/>
    <n v="1.8870055515494817"/>
    <n v="2.3659852670349908"/>
    <n v="27.33468085106383"/>
    <n v="1.5340441182193925"/>
    <s v="🟡 Mid"/>
  </r>
  <r>
    <n v="755"/>
    <s v="Di_Programmatic_2024"/>
    <x v="0"/>
    <s v="Traffic"/>
    <s v="West"/>
    <s v="Desktop"/>
    <s v="55+"/>
    <x v="2"/>
    <x v="2"/>
    <n v="2024"/>
    <n v="11255.07"/>
    <n v="641975"/>
    <n v="5311"/>
    <n v="103"/>
    <n v="10307.24"/>
    <n v="0.82729078235133768"/>
    <n v="1.9407343249858784"/>
    <n v="100.07029126213592"/>
    <n v="1.0919576918748375"/>
    <s v="🔴 Low"/>
  </r>
  <r>
    <n v="756"/>
    <s v="Go_Search_Competitor_2023"/>
    <x v="1"/>
    <s v="Traffic"/>
    <s v="Central"/>
    <s v="Tablet"/>
    <s v="45-54"/>
    <x v="4"/>
    <x v="1"/>
    <n v="2023"/>
    <n v="5551.69"/>
    <n v="725013"/>
    <n v="20963"/>
    <n v="532"/>
    <n v="3693.57"/>
    <n v="2.8913964301329771"/>
    <n v="0.17619472403759004"/>
    <n v="6.9428007518796999"/>
    <n v="1.5030688466713773"/>
    <s v="🟡 Mid"/>
  </r>
  <r>
    <n v="757"/>
    <s v="Go_Shopping_2024"/>
    <x v="1"/>
    <s v="Retargeting"/>
    <s v="Central"/>
    <s v="Tablet"/>
    <s v="35-44"/>
    <x v="8"/>
    <x v="0"/>
    <n v="2024"/>
    <n v="14296.3"/>
    <n v="266212"/>
    <n v="6850"/>
    <n v="661"/>
    <n v="11213.49"/>
    <n v="2.5731371989241656"/>
    <n v="1.6370058394160583"/>
    <n v="16.964432677760968"/>
    <n v="1.2749197618225905"/>
    <s v="🟡 Mid"/>
  </r>
  <r>
    <n v="758"/>
    <s v="Fa_Instant_Experience_2023"/>
    <x v="2"/>
    <s v="Traffic"/>
    <s v="East"/>
    <s v="Mobile"/>
    <s v="45-54"/>
    <x v="10"/>
    <x v="1"/>
    <n v="2023"/>
    <n v="6451.15"/>
    <n v="96165"/>
    <n v="1088"/>
    <n v="41"/>
    <n v="4972.13"/>
    <n v="1.1313887589039671"/>
    <n v="4.5699724264705885"/>
    <n v="121.27146341463416"/>
    <n v="1.2974620534861316"/>
    <s v="🔴 Low"/>
  </r>
  <r>
    <n v="759"/>
    <s v="Fa_Feed_Video_2023"/>
    <x v="2"/>
    <s v="Brand Awareness"/>
    <s v="North"/>
    <s v="Tablet"/>
    <s v="25-34"/>
    <x v="7"/>
    <x v="0"/>
    <n v="2023"/>
    <n v="11718.68"/>
    <n v="93693"/>
    <n v="1474"/>
    <n v="18"/>
    <n v="11334.64"/>
    <n v="1.5732231863639761"/>
    <n v="7.6897150610583447"/>
    <n v="629.70222222222219"/>
    <n v="1.0338819759604188"/>
    <s v="🟡 Mid"/>
  </r>
  <r>
    <n v="760"/>
    <s v="Fa_Carousel_2023"/>
    <x v="2"/>
    <s v="Retargeting"/>
    <s v="West"/>
    <s v="Tablet"/>
    <s v="55+"/>
    <x v="6"/>
    <x v="3"/>
    <n v="2023"/>
    <n v="8406.69"/>
    <n v="651223"/>
    <n v="6284"/>
    <n v="472"/>
    <n v="7979.52"/>
    <n v="0.96495363339439788"/>
    <n v="1.2698154042011458"/>
    <n v="16.905762711864408"/>
    <n v="1.0535332952358036"/>
    <s v="🔴 Low"/>
  </r>
  <r>
    <n v="761"/>
    <s v="Go_Smart_Campaign_2023"/>
    <x v="1"/>
    <s v="Traffic"/>
    <s v="East"/>
    <s v="Desktop"/>
    <s v="55+"/>
    <x v="3"/>
    <x v="3"/>
    <n v="2023"/>
    <n v="12343.78"/>
    <n v="181718"/>
    <n v="4230"/>
    <n v="108"/>
    <n v="8573.11"/>
    <n v="2.3277826082171273"/>
    <n v="2.0267399527186765"/>
    <n v="79.380648148148154"/>
    <n v="1.4398252209524898"/>
    <s v="🟡 Mid"/>
  </r>
  <r>
    <n v="762"/>
    <s v="Go_Search_Competitor_2024"/>
    <x v="1"/>
    <s v="Lead Generation"/>
    <s v="Central"/>
    <s v="Mobile"/>
    <s v="18-24"/>
    <x v="1"/>
    <x v="1"/>
    <n v="2024"/>
    <n v="7892.35"/>
    <n v="396416"/>
    <n v="7454"/>
    <n v="731"/>
    <n v="5855.67"/>
    <n v="1.8803479173393607"/>
    <n v="0.78557418835524551"/>
    <n v="8.0104924760601914"/>
    <n v="1.3478133159826289"/>
    <s v="🟡 Mid"/>
  </r>
  <r>
    <n v="763"/>
    <s v="Di_Interstitial_2024"/>
    <x v="0"/>
    <s v="Traffic"/>
    <s v="North"/>
    <s v="Mobile"/>
    <s v="35-44"/>
    <x v="4"/>
    <x v="1"/>
    <n v="2024"/>
    <n v="5662.64"/>
    <n v="7342"/>
    <n v="47"/>
    <n v="0"/>
    <n v="4122.54"/>
    <n v="0.64015254698992097"/>
    <n v="87.71361702127659"/>
    <s v="-"/>
    <n v="1.3735803655028211"/>
    <s v="🔴 Low"/>
  </r>
  <r>
    <n v="764"/>
    <s v="Di_Banner_Standard_2023"/>
    <x v="0"/>
    <s v="Retargeting"/>
    <s v="Central"/>
    <s v="Mobile"/>
    <s v="18-24"/>
    <x v="2"/>
    <x v="2"/>
    <n v="2023"/>
    <n v="12502.84"/>
    <n v="349511"/>
    <n v="186"/>
    <n v="15"/>
    <n v="8064.44"/>
    <n v="5.3217209186549201E-2"/>
    <n v="43.357204301075264"/>
    <n v="537.62933333333331"/>
    <n v="1.5503667954625493"/>
    <s v="🔴 Low"/>
  </r>
  <r>
    <n v="765"/>
    <s v="Fa_Carousel_2024"/>
    <x v="2"/>
    <s v="Retargeting"/>
    <s v="East"/>
    <s v="Desktop"/>
    <s v="18-24"/>
    <x v="1"/>
    <x v="1"/>
    <n v="2024"/>
    <n v="4352.12"/>
    <n v="559797"/>
    <n v="7346"/>
    <n v="513"/>
    <n v="3502.21"/>
    <n v="1.3122614090464937"/>
    <n v="0.47675061257827389"/>
    <n v="6.8269200779727095"/>
    <n v="1.2426781946256791"/>
    <s v="🔴 Low"/>
  </r>
  <r>
    <n v="766"/>
    <s v="Go_YouTube_PreRoll_2024"/>
    <x v="1"/>
    <s v="Lead Generation"/>
    <s v="West"/>
    <s v="Mobile"/>
    <s v="35-44"/>
    <x v="5"/>
    <x v="2"/>
    <n v="2024"/>
    <n v="8852.66"/>
    <n v="196031"/>
    <n v="5437"/>
    <n v="392"/>
    <n v="6313.56"/>
    <n v="2.7735409195484388"/>
    <n v="1.1612212617252162"/>
    <n v="16.106020408163268"/>
    <n v="1.4021661313110194"/>
    <s v="🟡 Mid"/>
  </r>
  <r>
    <n v="767"/>
    <s v="Fa_Instant_Experience_2024"/>
    <x v="2"/>
    <s v="Lead Generation"/>
    <s v="South"/>
    <s v="Mobile"/>
    <s v="45-54"/>
    <x v="8"/>
    <x v="0"/>
    <n v="2024"/>
    <n v="17729.740000000002"/>
    <n v="748670"/>
    <n v="12750"/>
    <n v="540"/>
    <n v="13575.83"/>
    <n v="1.7030200221726528"/>
    <n v="1.0647709803921568"/>
    <n v="25.140425925925925"/>
    <n v="1.3059783453387381"/>
    <s v="🟡 Mid"/>
  </r>
  <r>
    <n v="768"/>
    <s v="Di_Retargeting_Display_2024"/>
    <x v="0"/>
    <s v="Brand Awareness"/>
    <s v="South"/>
    <s v="Tablet"/>
    <s v="25-34"/>
    <x v="4"/>
    <x v="1"/>
    <n v="2024"/>
    <n v="2816.45"/>
    <n v="517824"/>
    <n v="5216"/>
    <n v="69"/>
    <n v="2635.98"/>
    <n v="1.0072920528982821"/>
    <n v="0.50536426380368094"/>
    <n v="38.202608695652174"/>
    <n v="1.0684641006380928"/>
    <s v="🔴 Low"/>
  </r>
  <r>
    <n v="769"/>
    <s v="Di_Native_2023"/>
    <x v="0"/>
    <s v="Conversions"/>
    <s v="West"/>
    <s v="Tablet"/>
    <s v="45-54"/>
    <x v="0"/>
    <x v="0"/>
    <n v="2023"/>
    <n v="19174.73"/>
    <n v="27179"/>
    <n v="277"/>
    <n v="14"/>
    <n v="17016.88"/>
    <n v="1.0191692115236028"/>
    <n v="61.432779783393507"/>
    <n v="1215.4914285714287"/>
    <n v="1.1268064416038661"/>
    <s v="🔴 Low"/>
  </r>
  <r>
    <n v="770"/>
    <s v="Go_Search_Competitor_2024"/>
    <x v="1"/>
    <s v="Retargeting"/>
    <s v="Central"/>
    <s v="Tablet"/>
    <s v="18-24"/>
    <x v="1"/>
    <x v="1"/>
    <n v="2024"/>
    <n v="6144.6"/>
    <n v="514533"/>
    <n v="16089"/>
    <n v="1071"/>
    <n v="4793.7700000000004"/>
    <n v="3.1269131425972678"/>
    <n v="0.2979532599912984"/>
    <n v="4.4759757236227831"/>
    <n v="1.2817886548582849"/>
    <s v="🟢 High"/>
  </r>
  <r>
    <n v="771"/>
    <s v="Di_Native_2024"/>
    <x v="0"/>
    <s v="Traffic"/>
    <s v="South"/>
    <s v="Desktop"/>
    <s v="35-44"/>
    <x v="7"/>
    <x v="0"/>
    <n v="2024"/>
    <n v="19888.009999999998"/>
    <n v="264369"/>
    <n v="1148"/>
    <n v="27"/>
    <n v="18470.810000000001"/>
    <n v="0.43424153361400164"/>
    <n v="16.08955574912892"/>
    <n v="684.10407407407411"/>
    <n v="1.07672646732872"/>
    <s v="🔴 Low"/>
  </r>
  <r>
    <n v="772"/>
    <s v="Go_Shopping_2023"/>
    <x v="1"/>
    <s v="Lead Generation"/>
    <s v="Central"/>
    <s v="Tablet"/>
    <s v="25-34"/>
    <x v="11"/>
    <x v="2"/>
    <n v="2023"/>
    <n v="3079.77"/>
    <n v="45230"/>
    <n v="1059"/>
    <n v="59"/>
    <n v="2096.44"/>
    <n v="2.3413663497678532"/>
    <n v="1.9796411709159585"/>
    <n v="35.532881355932204"/>
    <n v="1.469047528190647"/>
    <s v="🟡 Mid"/>
  </r>
  <r>
    <n v="773"/>
    <s v="Go_Smart_Campaign_2024"/>
    <x v="1"/>
    <s v="Brand Awareness"/>
    <s v="Central"/>
    <s v="Desktop"/>
    <s v="18-24"/>
    <x v="8"/>
    <x v="0"/>
    <n v="2024"/>
    <n v="8442.2999999999993"/>
    <n v="326331"/>
    <n v="7730"/>
    <n v="64"/>
    <n v="6576.15"/>
    <n v="2.3687605529355165"/>
    <n v="0.85073091849935312"/>
    <n v="102.75234374999999"/>
    <n v="1.2837754613261558"/>
    <s v="🟡 Mid"/>
  </r>
  <r>
    <n v="774"/>
    <s v="Go_Smart_Campaign_2024"/>
    <x v="1"/>
    <s v="Brand Awareness"/>
    <s v="East"/>
    <s v="Desktop"/>
    <s v="35-44"/>
    <x v="2"/>
    <x v="2"/>
    <n v="2024"/>
    <n v="18888.48"/>
    <n v="751151"/>
    <n v="11029"/>
    <n v="124"/>
    <n v="13870.44"/>
    <n v="1.4682800129401412"/>
    <n v="1.2576335116511017"/>
    <n v="111.85838709677419"/>
    <n v="1.3617794388642321"/>
    <s v="🔴 Low"/>
  </r>
  <r>
    <n v="775"/>
    <s v="Go_Shopping_2024"/>
    <x v="1"/>
    <s v="Brand Awareness"/>
    <s v="North"/>
    <s v="Desktop"/>
    <s v="35-44"/>
    <x v="11"/>
    <x v="2"/>
    <n v="2024"/>
    <n v="9705.1299999999992"/>
    <n v="640984"/>
    <n v="19599"/>
    <n v="376"/>
    <n v="7305.09"/>
    <n v="3.0576426244648856"/>
    <n v="0.3727276901882749"/>
    <n v="19.42843085106383"/>
    <n v="1.32854352239329"/>
    <s v="🟢 High"/>
  </r>
  <r>
    <n v="776"/>
    <s v="Fa_Feed_Video_2024"/>
    <x v="2"/>
    <s v="Brand Awareness"/>
    <s v="North"/>
    <s v="Tablet"/>
    <s v="55+"/>
    <x v="0"/>
    <x v="0"/>
    <n v="2024"/>
    <n v="7531.09"/>
    <n v="383939"/>
    <n v="6869"/>
    <n v="110"/>
    <n v="6381.41"/>
    <n v="1.7890862871445725"/>
    <n v="0.929015868394235"/>
    <n v="58.012818181818183"/>
    <n v="1.1801608108552812"/>
    <s v="🟡 Mid"/>
  </r>
  <r>
    <n v="777"/>
    <s v="Di_Retargeting_Display_2023"/>
    <x v="0"/>
    <s v="Lead Generation"/>
    <s v="East"/>
    <s v="Desktop"/>
    <s v="55+"/>
    <x v="1"/>
    <x v="1"/>
    <n v="2023"/>
    <n v="17800.28"/>
    <n v="141823"/>
    <n v="332"/>
    <n v="14"/>
    <n v="17919.52"/>
    <n v="0.23409461088821984"/>
    <n v="53.974457831325303"/>
    <n v="1279.9657142857143"/>
    <n v="0.99334580390546168"/>
    <s v="🔴 Low"/>
  </r>
  <r>
    <n v="778"/>
    <s v="Di_Interstitial_2024"/>
    <x v="0"/>
    <s v="Lead Generation"/>
    <s v="West"/>
    <s v="Desktop"/>
    <s v="18-24"/>
    <x v="10"/>
    <x v="1"/>
    <n v="2024"/>
    <n v="6378.79"/>
    <n v="502233"/>
    <n v="1037"/>
    <n v="103"/>
    <n v="4368.45"/>
    <n v="0.20647786983332439"/>
    <n v="4.2125843780135002"/>
    <n v="42.412135922330094"/>
    <n v="1.4601952637663245"/>
    <s v="🔴 Low"/>
  </r>
  <r>
    <n v="779"/>
    <s v="Di_Native_2024"/>
    <x v="0"/>
    <s v="Brand Awareness"/>
    <s v="South"/>
    <s v="Desktop"/>
    <s v="45-54"/>
    <x v="10"/>
    <x v="1"/>
    <n v="2024"/>
    <n v="17885.939999999999"/>
    <n v="592565"/>
    <n v="10360"/>
    <n v="121"/>
    <n v="16120.18"/>
    <n v="1.7483314066811237"/>
    <n v="1.5560019305019306"/>
    <n v="133.22462809917354"/>
    <n v="1.1095372384179332"/>
    <s v="🟡 Mid"/>
  </r>
  <r>
    <n v="780"/>
    <s v="Fa_Feed_Video_2023"/>
    <x v="2"/>
    <s v="Retargeting"/>
    <s v="West"/>
    <s v="Tablet"/>
    <s v="55+"/>
    <x v="8"/>
    <x v="0"/>
    <n v="2023"/>
    <n v="12183.5"/>
    <n v="735549"/>
    <n v="10553"/>
    <n v="1449"/>
    <n v="8792.2900000000009"/>
    <n v="1.4347106718926952"/>
    <n v="0.83315550080545819"/>
    <n v="6.0678329882677717"/>
    <n v="1.3857027008890743"/>
    <s v="🔴 Low"/>
  </r>
  <r>
    <n v="781"/>
    <s v="Di_Banner_Standard_2023"/>
    <x v="0"/>
    <s v="Lead Generation"/>
    <s v="West"/>
    <s v="Mobile"/>
    <s v="55+"/>
    <x v="10"/>
    <x v="1"/>
    <n v="2023"/>
    <n v="3727.61"/>
    <n v="792195"/>
    <n v="460"/>
    <n v="29"/>
    <n v="3187.22"/>
    <n v="5.8066511401864439E-2"/>
    <n v="6.9287391304347823"/>
    <n v="109.90413793103447"/>
    <n v="1.1695490113641356"/>
    <s v="🔴 Low"/>
  </r>
  <r>
    <n v="782"/>
    <s v="Go_Shopping_2023"/>
    <x v="1"/>
    <s v="Brand Awareness"/>
    <s v="South"/>
    <s v="Tablet"/>
    <s v="25-34"/>
    <x v="9"/>
    <x v="3"/>
    <n v="2023"/>
    <n v="17643.52"/>
    <n v="542705"/>
    <n v="14992"/>
    <n v="177"/>
    <n v="15830.77"/>
    <n v="2.7624584258482967"/>
    <n v="1.0559478388473853"/>
    <n v="89.439378531073444"/>
    <n v="1.1145080119286681"/>
    <s v="🟡 Mid"/>
  </r>
  <r>
    <n v="783"/>
    <s v="Di_Programmatic_2023"/>
    <x v="0"/>
    <s v="Conversions"/>
    <s v="South"/>
    <s v="Mobile"/>
    <s v="35-44"/>
    <x v="10"/>
    <x v="1"/>
    <n v="2023"/>
    <n v="3836.63"/>
    <n v="52828"/>
    <n v="155"/>
    <n v="14"/>
    <n v="3819.98"/>
    <n v="0.2934050124933747"/>
    <n v="24.645032258064518"/>
    <n v="272.85571428571427"/>
    <n v="1.004358661563673"/>
    <s v="🔴 Low"/>
  </r>
  <r>
    <n v="784"/>
    <s v="Fa_Carousel_2023"/>
    <x v="2"/>
    <s v="Conversions"/>
    <s v="North"/>
    <s v="Tablet"/>
    <s v="25-34"/>
    <x v="11"/>
    <x v="2"/>
    <n v="2023"/>
    <n v="527.29999999999995"/>
    <n v="369340"/>
    <n v="5588"/>
    <n v="526"/>
    <n v="531.69000000000005"/>
    <n v="1.5129690799805058"/>
    <n v="9.5148532569792416E-2"/>
    <n v="1.0108174904942966"/>
    <n v="0.99174330907107511"/>
    <s v="🟡 Mid"/>
  </r>
  <r>
    <n v="785"/>
    <s v="Fa_Feed_Video_2024"/>
    <x v="2"/>
    <s v="Traffic"/>
    <s v="East"/>
    <s v="Tablet"/>
    <s v="25-34"/>
    <x v="1"/>
    <x v="1"/>
    <n v="2024"/>
    <n v="6830.39"/>
    <n v="65045"/>
    <n v="1007"/>
    <n v="20"/>
    <n v="6193.8"/>
    <n v="1.5481589668690907"/>
    <n v="6.1507447864945384"/>
    <n v="309.69"/>
    <n v="1.1027785850366496"/>
    <s v="🟡 Mid"/>
  </r>
  <r>
    <n v="786"/>
    <s v="Fa_Carousel_2024"/>
    <x v="2"/>
    <s v="Conversions"/>
    <s v="North"/>
    <s v="Tablet"/>
    <s v="55+"/>
    <x v="7"/>
    <x v="0"/>
    <n v="2024"/>
    <n v="18940.3"/>
    <n v="274845"/>
    <n v="4256"/>
    <n v="471"/>
    <n v="16410.03"/>
    <n v="1.548509159708199"/>
    <n v="3.8557401315789472"/>
    <n v="34.840828025477705"/>
    <n v="1.1541904554714404"/>
    <s v="🟡 Mid"/>
  </r>
  <r>
    <n v="787"/>
    <s v="Di_Interstitial_2024"/>
    <x v="0"/>
    <s v="Retargeting"/>
    <s v="South"/>
    <s v="Mobile"/>
    <s v="35-44"/>
    <x v="11"/>
    <x v="2"/>
    <n v="2024"/>
    <n v="3535.01"/>
    <n v="247979"/>
    <n v="1568"/>
    <n v="112"/>
    <n v="2832.19"/>
    <n v="0.63231160703124056"/>
    <n v="1.8062436224489797"/>
    <n v="25.287410714285716"/>
    <n v="1.2481542551876816"/>
    <s v="🔴 Low"/>
  </r>
  <r>
    <n v="788"/>
    <s v="Fa_Carousel_2024"/>
    <x v="2"/>
    <s v="Retargeting"/>
    <s v="South"/>
    <s v="Desktop"/>
    <s v="25-34"/>
    <x v="9"/>
    <x v="3"/>
    <n v="2024"/>
    <n v="18895.419999999998"/>
    <n v="194170"/>
    <n v="2079"/>
    <n v="232"/>
    <n v="11504.29"/>
    <n v="1.0707112324251944"/>
    <n v="5.533569023569024"/>
    <n v="49.587456896551728"/>
    <n v="1.6424672882898463"/>
    <s v="🔴 Low"/>
  </r>
  <r>
    <n v="789"/>
    <s v="Go_Shopping_2023"/>
    <x v="1"/>
    <s v="Retargeting"/>
    <s v="Central"/>
    <s v="Desktop"/>
    <s v="18-24"/>
    <x v="0"/>
    <x v="0"/>
    <n v="2023"/>
    <n v="8814.7000000000007"/>
    <n v="482127"/>
    <n v="18880"/>
    <n v="1284"/>
    <n v="7239.05"/>
    <n v="3.9159806441041467"/>
    <n v="0.38342425847457628"/>
    <n v="5.6378894080996886"/>
    <n v="1.2176597757993108"/>
    <s v="🟢 High"/>
  </r>
  <r>
    <n v="790"/>
    <s v="Di_Banner_Standard_2023"/>
    <x v="0"/>
    <s v="Traffic"/>
    <s v="North"/>
    <s v="Mobile"/>
    <s v="45-54"/>
    <x v="8"/>
    <x v="0"/>
    <n v="2023"/>
    <n v="16617.96"/>
    <n v="680788"/>
    <n v="340"/>
    <n v="12"/>
    <n v="10893.33"/>
    <n v="4.9942125889410507E-2"/>
    <n v="32.039205882352938"/>
    <n v="907.77750000000003"/>
    <n v="1.5255169906722736"/>
    <s v="🔴 Low"/>
  </r>
  <r>
    <n v="791"/>
    <s v="Go_YouTube_PreRoll_2024"/>
    <x v="1"/>
    <s v="Lead Generation"/>
    <s v="Central"/>
    <s v="Desktop"/>
    <s v="18-24"/>
    <x v="7"/>
    <x v="0"/>
    <n v="2024"/>
    <n v="17128.04"/>
    <n v="94092"/>
    <n v="2793"/>
    <n v="206"/>
    <n v="13473.21"/>
    <n v="2.9683713812013774"/>
    <n v="4.8239205155746507"/>
    <n v="65.403932038834952"/>
    <n v="1.2712664613703788"/>
    <s v="🟡 Mid"/>
  </r>
  <r>
    <n v="792"/>
    <s v="Go_YouTube_PreRoll_2024"/>
    <x v="1"/>
    <s v="Conversions"/>
    <s v="West"/>
    <s v="Desktop"/>
    <s v="25-34"/>
    <x v="8"/>
    <x v="0"/>
    <n v="2024"/>
    <n v="12735.97"/>
    <n v="134054"/>
    <n v="4486"/>
    <n v="230"/>
    <n v="7879.76"/>
    <n v="3.3464126396825158"/>
    <n v="1.7565225144895229"/>
    <n v="34.259826086956522"/>
    <n v="1.6162890747941561"/>
    <s v="🟢 High"/>
  </r>
  <r>
    <n v="793"/>
    <s v="Di_Programmatic_2023"/>
    <x v="0"/>
    <s v="Brand Awareness"/>
    <s v="Central"/>
    <s v="Mobile"/>
    <s v="25-34"/>
    <x v="8"/>
    <x v="0"/>
    <n v="2023"/>
    <n v="968.02"/>
    <n v="452883"/>
    <n v="1580"/>
    <n v="14"/>
    <n v="955.54"/>
    <n v="0.34887597900561512"/>
    <n v="0.60477215189873412"/>
    <n v="68.252857142857138"/>
    <n v="1.0130606777319631"/>
    <s v="🔴 Low"/>
  </r>
  <r>
    <n v="794"/>
    <s v="Di_Video_Display_2023"/>
    <x v="0"/>
    <s v="Brand Awareness"/>
    <s v="West"/>
    <s v="Desktop"/>
    <s v="18-24"/>
    <x v="11"/>
    <x v="2"/>
    <n v="2023"/>
    <n v="19151.099999999999"/>
    <n v="300503"/>
    <n v="3028"/>
    <n v="31"/>
    <n v="16442.990000000002"/>
    <n v="1.0076438504773662"/>
    <n v="5.4303137384412157"/>
    <n v="530.41903225806459"/>
    <n v="1.164696931640778"/>
    <s v="🔴 Low"/>
  </r>
  <r>
    <n v="795"/>
    <s v="Go_Search_Competitor_2024"/>
    <x v="1"/>
    <s v="Brand Awareness"/>
    <s v="North"/>
    <s v="Tablet"/>
    <s v="25-34"/>
    <x v="0"/>
    <x v="0"/>
    <n v="2024"/>
    <n v="10844.37"/>
    <n v="633738"/>
    <n v="19138"/>
    <n v="352"/>
    <n v="9636.39"/>
    <n v="3.019859942121192"/>
    <n v="0.50352126659003027"/>
    <n v="27.376107954545454"/>
    <n v="1.1253560721390481"/>
    <s v="🟢 High"/>
  </r>
  <r>
    <n v="796"/>
    <s v="Di_Programmatic_2024"/>
    <x v="0"/>
    <s v="Conversions"/>
    <s v="North"/>
    <s v="Mobile"/>
    <s v="45-54"/>
    <x v="3"/>
    <x v="3"/>
    <n v="2024"/>
    <n v="18691.2"/>
    <n v="750859"/>
    <n v="8845"/>
    <n v="936"/>
    <n v="17407.48"/>
    <n v="1.1779841488215497"/>
    <n v="1.9680587902769926"/>
    <n v="18.597735042735042"/>
    <n v="1.0737453094876457"/>
    <s v="🔴 Low"/>
  </r>
  <r>
    <n v="797"/>
    <s v="Go_Shopping_2024"/>
    <x v="1"/>
    <s v="Conversions"/>
    <s v="South"/>
    <s v="Mobile"/>
    <s v="45-54"/>
    <x v="6"/>
    <x v="3"/>
    <n v="2024"/>
    <n v="16385.669999999998"/>
    <n v="123661"/>
    <n v="2079"/>
    <n v="144"/>
    <n v="10453.86"/>
    <n v="1.6812091120078279"/>
    <n v="5.028311688311689"/>
    <n v="72.596249999999998"/>
    <n v="1.5674277252612907"/>
    <s v="🟡 Mid"/>
  </r>
  <r>
    <n v="798"/>
    <s v="Go_Shopping_2024"/>
    <x v="1"/>
    <s v="Retargeting"/>
    <s v="East"/>
    <s v="Mobile"/>
    <s v="45-54"/>
    <x v="1"/>
    <x v="1"/>
    <n v="2024"/>
    <n v="14021.71"/>
    <n v="439052"/>
    <n v="9680"/>
    <n v="1046"/>
    <n v="12162.06"/>
    <n v="2.2047502345963577"/>
    <n v="1.2564111570247933"/>
    <n v="11.627208413001911"/>
    <n v="1.1529058399646113"/>
    <s v="🟡 Mid"/>
  </r>
  <r>
    <n v="799"/>
    <s v="Go_PMax_2024"/>
    <x v="1"/>
    <s v="Retargeting"/>
    <s v="West"/>
    <s v="Tablet"/>
    <s v="45-54"/>
    <x v="10"/>
    <x v="1"/>
    <n v="2024"/>
    <n v="10883.25"/>
    <n v="246292"/>
    <n v="5680"/>
    <n v="532"/>
    <n v="9171.4"/>
    <n v="2.3062056420833805"/>
    <n v="1.6146830985915492"/>
    <n v="17.239473684210527"/>
    <n v="1.1866508929934361"/>
    <s v="🟡 Mid"/>
  </r>
  <r>
    <n v="800"/>
    <s v="Di_Interstitial_2023"/>
    <x v="0"/>
    <s v="Brand Awareness"/>
    <s v="South"/>
    <s v="Mobile"/>
    <s v="18-24"/>
    <x v="11"/>
    <x v="2"/>
    <n v="2023"/>
    <n v="7566.77"/>
    <n v="501947"/>
    <n v="5708"/>
    <n v="110"/>
    <n v="7466.74"/>
    <n v="1.1371718528051766"/>
    <n v="1.3081184302733007"/>
    <n v="67.87945454545455"/>
    <n v="1.0133967434248414"/>
    <s v="🔴 Low"/>
  </r>
  <r>
    <n v="801"/>
    <s v="Go_Search_Competitor_2024"/>
    <x v="1"/>
    <s v="Conversions"/>
    <s v="South"/>
    <s v="Mobile"/>
    <s v="45-54"/>
    <x v="0"/>
    <x v="0"/>
    <n v="2024"/>
    <n v="5228.7"/>
    <n v="240496"/>
    <n v="7348"/>
    <n v="862"/>
    <n v="4683.16"/>
    <n v="3.0553522719712594"/>
    <n v="0.63733805117038644"/>
    <n v="5.4329002320185618"/>
    <n v="1.1164897206159943"/>
    <s v="🟢 High"/>
  </r>
  <r>
    <n v="802"/>
    <s v="Fa_Feed_Image_2023"/>
    <x v="2"/>
    <s v="Retargeting"/>
    <s v="East"/>
    <s v="Desktop"/>
    <s v="18-24"/>
    <x v="3"/>
    <x v="3"/>
    <n v="2023"/>
    <n v="9798.1200000000008"/>
    <n v="627776"/>
    <n v="10632"/>
    <n v="1378"/>
    <n v="6003.09"/>
    <n v="1.6935977163829135"/>
    <n v="0.56462471783295709"/>
    <n v="4.3563788098693763"/>
    <n v="1.6321794275947887"/>
    <s v="🟡 Mid"/>
  </r>
  <r>
    <n v="803"/>
    <s v="Fa_Carousel_2024"/>
    <x v="2"/>
    <s v="Brand Awareness"/>
    <s v="South"/>
    <s v="Desktop"/>
    <s v="18-24"/>
    <x v="9"/>
    <x v="3"/>
    <n v="2024"/>
    <n v="3419.49"/>
    <n v="196285"/>
    <n v="2611"/>
    <n v="33"/>
    <n v="3414.3"/>
    <n v="1.3302086252133378"/>
    <n v="1.3076599004212945"/>
    <n v="103.46363636363637"/>
    <n v="1.001520077321852"/>
    <s v="🔴 Low"/>
  </r>
  <r>
    <n v="804"/>
    <s v="Fa_Messenger_2023"/>
    <x v="2"/>
    <s v="Conversions"/>
    <s v="West"/>
    <s v="Tablet"/>
    <s v="18-24"/>
    <x v="5"/>
    <x v="2"/>
    <n v="2023"/>
    <n v="3539.8"/>
    <n v="678662"/>
    <n v="11210"/>
    <n v="585"/>
    <n v="3240.6"/>
    <n v="1.6517795309005074"/>
    <n v="0.28908117752007134"/>
    <n v="5.5394871794871792"/>
    <n v="1.0923285811269519"/>
    <s v="🟡 Mid"/>
  </r>
  <r>
    <n v="805"/>
    <s v="Di_Native_2024"/>
    <x v="0"/>
    <s v="Brand Awareness"/>
    <s v="West"/>
    <s v="Mobile"/>
    <s v="45-54"/>
    <x v="10"/>
    <x v="1"/>
    <n v="2024"/>
    <n v="18423.43"/>
    <n v="531251"/>
    <n v="3060"/>
    <n v="58"/>
    <n v="13157.42"/>
    <n v="0.57599891576674678"/>
    <n v="4.2998104575163403"/>
    <n v="226.85206896551725"/>
    <n v="1.4002312003417083"/>
    <s v="🔴 Low"/>
  </r>
  <r>
    <n v="806"/>
    <s v="Go_Smart_Campaign_2023"/>
    <x v="1"/>
    <s v="Lead Generation"/>
    <s v="South"/>
    <s v="Mobile"/>
    <s v="55+"/>
    <x v="8"/>
    <x v="0"/>
    <n v="2023"/>
    <n v="8149.67"/>
    <n v="787233"/>
    <n v="24695"/>
    <n v="2433"/>
    <n v="6960.92"/>
    <n v="3.1369365867538579"/>
    <n v="0.28187568333670782"/>
    <n v="2.8610439786272091"/>
    <n v="1.1707748401073421"/>
    <s v="🟢 High"/>
  </r>
  <r>
    <n v="807"/>
    <s v="Go_Discovery_2023"/>
    <x v="1"/>
    <s v="Retargeting"/>
    <s v="East"/>
    <s v="Tablet"/>
    <s v="45-54"/>
    <x v="1"/>
    <x v="1"/>
    <n v="2023"/>
    <n v="1566.1"/>
    <n v="394523"/>
    <n v="10261"/>
    <n v="704"/>
    <n v="990.84"/>
    <n v="2.6008623071405217"/>
    <n v="9.6563687749731994E-2"/>
    <n v="1.4074431818181818"/>
    <n v="1.5805780953534374"/>
    <s v="🟡 Mid"/>
  </r>
  <r>
    <n v="808"/>
    <s v="Di_Retargeting_Display_2023"/>
    <x v="0"/>
    <s v="Brand Awareness"/>
    <s v="South"/>
    <s v="Mobile"/>
    <s v="25-34"/>
    <x v="10"/>
    <x v="1"/>
    <n v="2023"/>
    <n v="1773.72"/>
    <n v="631116"/>
    <n v="2763"/>
    <n v="14"/>
    <n v="1741.91"/>
    <n v="0.43779590439792365"/>
    <n v="0.63044154904089755"/>
    <n v="124.42214285714286"/>
    <n v="1.018261563456206"/>
    <s v="🔴 Low"/>
  </r>
  <r>
    <n v="809"/>
    <s v="Go_PMax_2023"/>
    <x v="1"/>
    <s v="Brand Awareness"/>
    <s v="South"/>
    <s v="Mobile"/>
    <s v="18-24"/>
    <x v="9"/>
    <x v="3"/>
    <n v="2023"/>
    <n v="11492.92"/>
    <n v="512308"/>
    <n v="16479"/>
    <n v="315"/>
    <n v="6936.68"/>
    <n v="3.2166196897179042"/>
    <n v="0.42094059105528248"/>
    <n v="22.021206349206349"/>
    <n v="1.6568329517867337"/>
    <s v="🟢 High"/>
  </r>
  <r>
    <n v="810"/>
    <s v="Fa_Stories_2024"/>
    <x v="2"/>
    <s v="Retargeting"/>
    <s v="Central"/>
    <s v="Desktop"/>
    <s v="35-44"/>
    <x v="1"/>
    <x v="1"/>
    <n v="2024"/>
    <n v="19490.09"/>
    <n v="741789"/>
    <n v="12781"/>
    <n v="1456"/>
    <n v="14406.17"/>
    <n v="1.7229967012182708"/>
    <n v="1.1271551521790157"/>
    <n v="9.8943475274725277"/>
    <n v="1.3528987926700851"/>
    <s v="🟡 Mid"/>
  </r>
  <r>
    <n v="811"/>
    <s v="Di_Rich_Media_2024"/>
    <x v="0"/>
    <s v="Traffic"/>
    <s v="South"/>
    <s v="Desktop"/>
    <s v="55+"/>
    <x v="1"/>
    <x v="1"/>
    <n v="2024"/>
    <n v="11933.98"/>
    <n v="44225"/>
    <n v="277"/>
    <n v="6"/>
    <n v="11597.27"/>
    <n v="0.62634256642170716"/>
    <n v="41.867400722021664"/>
    <n v="1932.8783333333333"/>
    <n v="1.0290335570354057"/>
    <s v="🔴 Low"/>
  </r>
  <r>
    <n v="812"/>
    <s v="Go_PMax_2024"/>
    <x v="1"/>
    <s v="Lead Generation"/>
    <s v="South"/>
    <s v="Tablet"/>
    <s v="25-34"/>
    <x v="10"/>
    <x v="1"/>
    <n v="2024"/>
    <n v="9225.86"/>
    <n v="142570"/>
    <n v="4387"/>
    <n v="264"/>
    <n v="6931.69"/>
    <n v="3.0770849407308689"/>
    <n v="1.58005242762708"/>
    <n v="26.256401515151513"/>
    <n v="1.3309683497098113"/>
    <s v="🟢 High"/>
  </r>
  <r>
    <n v="813"/>
    <s v="Fa_Feed_Image_2023"/>
    <x v="2"/>
    <s v="Retargeting"/>
    <s v="South"/>
    <s v="Desktop"/>
    <s v="55+"/>
    <x v="9"/>
    <x v="3"/>
    <n v="2023"/>
    <n v="19181.310000000001"/>
    <n v="599438"/>
    <n v="7148"/>
    <n v="889"/>
    <n v="12657.77"/>
    <n v="1.192450261745168"/>
    <n v="1.7708128147733633"/>
    <n v="14.238211473565805"/>
    <n v="1.5153783012331556"/>
    <s v="🔴 Low"/>
  </r>
  <r>
    <n v="814"/>
    <s v="Fa_Feed_Video_2024"/>
    <x v="2"/>
    <s v="Retargeting"/>
    <s v="North"/>
    <s v="Mobile"/>
    <s v="35-44"/>
    <x v="0"/>
    <x v="0"/>
    <n v="2024"/>
    <n v="3648.71"/>
    <n v="298724"/>
    <n v="3518"/>
    <n v="373"/>
    <n v="2730.75"/>
    <n v="1.1776757140370375"/>
    <n v="0.77622228538942584"/>
    <n v="7.3210455764075064"/>
    <n v="1.3361567334981233"/>
    <s v="🔴 Low"/>
  </r>
  <r>
    <n v="815"/>
    <s v="Go_Shopping_2023"/>
    <x v="1"/>
    <s v="Retargeting"/>
    <s v="East"/>
    <s v="Mobile"/>
    <s v="35-44"/>
    <x v="4"/>
    <x v="1"/>
    <n v="2023"/>
    <n v="18826.669999999998"/>
    <n v="601360"/>
    <n v="13987"/>
    <n v="1159"/>
    <n v="14530.31"/>
    <n v="2.3258946388186779"/>
    <n v="1.0388439265031815"/>
    <n v="12.536937014667817"/>
    <n v="1.2956826110385806"/>
    <s v="🟡 Mid"/>
  </r>
  <r>
    <n v="816"/>
    <s v="Di_Native_2024"/>
    <x v="0"/>
    <s v="Retargeting"/>
    <s v="East"/>
    <s v="Tablet"/>
    <s v="55+"/>
    <x v="2"/>
    <x v="2"/>
    <n v="2024"/>
    <n v="2128.0700000000002"/>
    <n v="438265"/>
    <n v="3221"/>
    <n v="323"/>
    <n v="1511.75"/>
    <n v="0.73494347027483375"/>
    <n v="0.46934181931077307"/>
    <n v="4.6803405572755414"/>
    <n v="1.4076864560939311"/>
    <s v="🔴 Low"/>
  </r>
  <r>
    <n v="817"/>
    <s v="Di_Banner_Standard_2023"/>
    <x v="0"/>
    <s v="Traffic"/>
    <s v="North"/>
    <s v="Tablet"/>
    <s v="25-34"/>
    <x v="6"/>
    <x v="3"/>
    <n v="2023"/>
    <n v="3513.96"/>
    <n v="115412"/>
    <n v="722"/>
    <n v="15"/>
    <n v="2216.08"/>
    <n v="0.62558486119294354"/>
    <n v="3.0693628808864264"/>
    <n v="147.73866666666666"/>
    <n v="1.5856647774448576"/>
    <s v="🔴 Low"/>
  </r>
  <r>
    <n v="818"/>
    <s v="Fa_Instant_Experience_2024"/>
    <x v="2"/>
    <s v="Brand Awareness"/>
    <s v="East"/>
    <s v="Mobile"/>
    <s v="45-54"/>
    <x v="3"/>
    <x v="3"/>
    <n v="2024"/>
    <n v="2627.82"/>
    <n v="194030"/>
    <n v="3655"/>
    <n v="58"/>
    <n v="2589.2800000000002"/>
    <n v="1.883729320208215"/>
    <n v="0.70842134062927498"/>
    <n v="44.642758620689662"/>
    <n v="1.0148844466415374"/>
    <s v="🟡 Mid"/>
  </r>
  <r>
    <n v="819"/>
    <s v="Fa_Messenger_2024"/>
    <x v="2"/>
    <s v="Lead Generation"/>
    <s v="West"/>
    <s v="Mobile"/>
    <s v="18-24"/>
    <x v="2"/>
    <x v="2"/>
    <n v="2024"/>
    <n v="19930.55"/>
    <n v="514917"/>
    <n v="9223"/>
    <n v="432"/>
    <n v="15763.53"/>
    <n v="1.7911624591924524"/>
    <n v="1.7091542881925621"/>
    <n v="36.489652777777778"/>
    <n v="1.2643456129432937"/>
    <s v="🟡 Mid"/>
  </r>
  <r>
    <n v="820"/>
    <s v="Di_Native_2023"/>
    <x v="0"/>
    <s v="Retargeting"/>
    <s v="South"/>
    <s v="Tablet"/>
    <s v="25-34"/>
    <x v="2"/>
    <x v="2"/>
    <n v="2023"/>
    <n v="19762.310000000001"/>
    <n v="403757"/>
    <n v="6054"/>
    <n v="393"/>
    <n v="18568.349999999999"/>
    <n v="1.499416728378703"/>
    <n v="3.0671209117938552"/>
    <n v="47.247709923664118"/>
    <n v="1.0643008129424534"/>
    <s v="🔴 Low"/>
  </r>
  <r>
    <n v="821"/>
    <s v="Fa_Instant_Experience_2024"/>
    <x v="2"/>
    <s v="Lead Generation"/>
    <s v="North"/>
    <s v="Desktop"/>
    <s v="18-24"/>
    <x v="3"/>
    <x v="3"/>
    <n v="2024"/>
    <n v="5762.04"/>
    <n v="671566"/>
    <n v="11576"/>
    <n v="653"/>
    <n v="3654.96"/>
    <n v="1.7237322913905708"/>
    <n v="0.31573600552868003"/>
    <n v="5.5971822358346097"/>
    <n v="1.5764987852124237"/>
    <s v="🟡 Mid"/>
  </r>
  <r>
    <n v="822"/>
    <s v="Di_Responsive_2023"/>
    <x v="0"/>
    <s v="Retargeting"/>
    <s v="Central"/>
    <s v="Desktop"/>
    <s v="35-44"/>
    <x v="0"/>
    <x v="0"/>
    <n v="2023"/>
    <n v="2302.6"/>
    <n v="454350"/>
    <n v="4303"/>
    <n v="375"/>
    <n v="2109.9499999999998"/>
    <n v="0.94706723891273248"/>
    <n v="0.49034394608412729"/>
    <n v="5.6265333333333327"/>
    <n v="1.0913054811725398"/>
    <s v="🔴 Low"/>
  </r>
  <r>
    <n v="823"/>
    <s v="Go_PMax_2023"/>
    <x v="1"/>
    <s v="Conversions"/>
    <s v="West"/>
    <s v="Mobile"/>
    <s v="45-54"/>
    <x v="10"/>
    <x v="1"/>
    <n v="2023"/>
    <n v="19329"/>
    <n v="463001"/>
    <n v="10789"/>
    <n v="833"/>
    <n v="11678.03"/>
    <n v="2.3302325480938486"/>
    <n v="1.0824015200667347"/>
    <n v="14.019243697478993"/>
    <n v="1.6551593034099072"/>
    <s v="🟡 Mid"/>
  </r>
  <r>
    <n v="824"/>
    <s v="Di_Interstitial_2024"/>
    <x v="0"/>
    <s v="Brand Awareness"/>
    <s v="Central"/>
    <s v="Tablet"/>
    <s v="25-34"/>
    <x v="2"/>
    <x v="2"/>
    <n v="2024"/>
    <n v="776.64"/>
    <n v="485938"/>
    <n v="6356"/>
    <n v="120"/>
    <n v="628.9"/>
    <n v="1.3079857924261944"/>
    <n v="9.894587791063561E-2"/>
    <n v="5.2408333333333328"/>
    <n v="1.2349181109874383"/>
    <s v="🔴 Low"/>
  </r>
  <r>
    <n v="825"/>
    <s v="Fa_Feed_Video_2023"/>
    <x v="2"/>
    <s v="Retargeting"/>
    <s v="East"/>
    <s v="Tablet"/>
    <s v="18-24"/>
    <x v="4"/>
    <x v="1"/>
    <n v="2023"/>
    <n v="12868.71"/>
    <n v="674952"/>
    <n v="12299"/>
    <n v="953"/>
    <n v="13012.76"/>
    <n v="1.8222036530005097"/>
    <n v="1.0580339865029678"/>
    <n v="13.654522560335781"/>
    <n v="0.98893009630547235"/>
    <s v="🟡 Mid"/>
  </r>
  <r>
    <n v="826"/>
    <s v="Fa_Carousel_2023"/>
    <x v="2"/>
    <s v="Traffic"/>
    <s v="West"/>
    <s v="Desktop"/>
    <s v="35-44"/>
    <x v="11"/>
    <x v="2"/>
    <n v="2023"/>
    <n v="19449.02"/>
    <n v="609856"/>
    <n v="9494"/>
    <n v="366"/>
    <n v="14693.88"/>
    <n v="1.5567609402875433"/>
    <n v="1.5477017063408467"/>
    <n v="40.147213114754095"/>
    <n v="1.3236136405088379"/>
    <s v="🟡 Mid"/>
  </r>
  <r>
    <n v="827"/>
    <s v="Fa_Feed_Image_2024"/>
    <x v="2"/>
    <s v="Conversions"/>
    <s v="East"/>
    <s v="Tablet"/>
    <s v="18-24"/>
    <x v="6"/>
    <x v="3"/>
    <n v="2024"/>
    <n v="13153.78"/>
    <n v="483148"/>
    <n v="5801"/>
    <n v="626"/>
    <n v="10244.91"/>
    <n v="1.2006672903540945"/>
    <n v="1.7660593001206688"/>
    <n v="16.36567092651757"/>
    <n v="1.283933192190073"/>
    <s v="🔴 Low"/>
  </r>
  <r>
    <n v="828"/>
    <s v="Fa_Feed_Video_2023"/>
    <x v="2"/>
    <s v="Lead Generation"/>
    <s v="West"/>
    <s v="Mobile"/>
    <s v="35-44"/>
    <x v="0"/>
    <x v="0"/>
    <n v="2023"/>
    <n v="11083.88"/>
    <n v="405098"/>
    <n v="7451"/>
    <n v="425"/>
    <n v="9720.94"/>
    <n v="1.8393080192940967"/>
    <n v="1.3046490403972621"/>
    <n v="22.872800000000002"/>
    <n v="1.1402066055340325"/>
    <s v="🟡 Mid"/>
  </r>
  <r>
    <n v="829"/>
    <s v="Di_Video_Display_2023"/>
    <x v="0"/>
    <s v="Conversions"/>
    <s v="Central"/>
    <s v="Desktop"/>
    <s v="18-24"/>
    <x v="7"/>
    <x v="0"/>
    <n v="2023"/>
    <n v="13167.68"/>
    <n v="651195"/>
    <n v="5946"/>
    <n v="609"/>
    <n v="11350.63"/>
    <n v="0.91309054891391983"/>
    <n v="1.9089522367978471"/>
    <n v="18.638144499178981"/>
    <n v="1.1600836253141897"/>
    <s v="🔴 Low"/>
  </r>
  <r>
    <n v="830"/>
    <s v="Di_Rich_Media_2024"/>
    <x v="0"/>
    <s v="Retargeting"/>
    <s v="Central"/>
    <s v="Tablet"/>
    <s v="18-24"/>
    <x v="3"/>
    <x v="3"/>
    <n v="2024"/>
    <n v="17108.25"/>
    <n v="227162"/>
    <n v="1371"/>
    <n v="106"/>
    <n v="13531.68"/>
    <n v="0.60353404178515768"/>
    <n v="9.8699343544857765"/>
    <n v="127.65735849056604"/>
    <n v="1.2643108616225036"/>
    <s v="🔴 Low"/>
  </r>
  <r>
    <n v="831"/>
    <s v="Fa_Feed_Video_2024"/>
    <x v="2"/>
    <s v="Lead Generation"/>
    <s v="West"/>
    <s v="Desktop"/>
    <s v="35-44"/>
    <x v="4"/>
    <x v="1"/>
    <n v="2024"/>
    <n v="18205.87"/>
    <n v="681184"/>
    <n v="9297"/>
    <n v="376"/>
    <n v="13788.22"/>
    <n v="1.3648294733875135"/>
    <n v="1.483082714854254"/>
    <n v="36.670797872340422"/>
    <n v="1.3203930601629508"/>
    <s v="🔴 Low"/>
  </r>
  <r>
    <n v="832"/>
    <s v="Go_YouTube_PreRoll_2023"/>
    <x v="1"/>
    <s v="Conversions"/>
    <s v="East"/>
    <s v="Mobile"/>
    <s v="45-54"/>
    <x v="3"/>
    <x v="3"/>
    <n v="2023"/>
    <n v="581.07000000000005"/>
    <n v="439694"/>
    <n v="8847"/>
    <n v="462"/>
    <n v="355.05"/>
    <n v="2.0120811291489082"/>
    <n v="4.0132248219735503E-2"/>
    <n v="0.76850649350649358"/>
    <n v="1.6365863962822138"/>
    <s v="🟡 Mid"/>
  </r>
  <r>
    <n v="833"/>
    <s v="Fa_Lead_Form_2024"/>
    <x v="2"/>
    <s v="Conversions"/>
    <s v="South"/>
    <s v="Tablet"/>
    <s v="45-54"/>
    <x v="11"/>
    <x v="2"/>
    <n v="2024"/>
    <n v="4256.88"/>
    <n v="680738"/>
    <n v="10023"/>
    <n v="1155"/>
    <n v="3321.32"/>
    <n v="1.4723726308800156"/>
    <n v="0.33136984934650304"/>
    <n v="2.8756017316017317"/>
    <n v="1.2816831862030758"/>
    <s v="🔴 Low"/>
  </r>
  <r>
    <n v="834"/>
    <s v="Di_Video_Display_2024"/>
    <x v="0"/>
    <s v="Lead Generation"/>
    <s v="West"/>
    <s v="Mobile"/>
    <s v="55+"/>
    <x v="0"/>
    <x v="0"/>
    <n v="2024"/>
    <n v="5003.91"/>
    <n v="749515"/>
    <n v="6004"/>
    <n v="528"/>
    <n v="4062.11"/>
    <n v="0.8010513465374276"/>
    <n v="0.67656728847435044"/>
    <n v="7.6933901515151515"/>
    <n v="1.231849949902883"/>
    <s v="🔴 Low"/>
  </r>
  <r>
    <n v="835"/>
    <s v="Di_Video_Display_2023"/>
    <x v="0"/>
    <s v="Conversions"/>
    <s v="Central"/>
    <s v="Desktop"/>
    <s v="35-44"/>
    <x v="11"/>
    <x v="2"/>
    <n v="2023"/>
    <n v="2318.6799999999998"/>
    <n v="463669"/>
    <n v="7210"/>
    <n v="437"/>
    <n v="1993.14"/>
    <n v="1.554988580215628"/>
    <n v="0.27644105409153952"/>
    <n v="4.5609610983981694"/>
    <n v="1.1633302226637365"/>
    <s v="🟡 Mid"/>
  </r>
  <r>
    <n v="836"/>
    <s v="Di_Rich_Media_2024"/>
    <x v="0"/>
    <s v="Traffic"/>
    <s v="West"/>
    <s v="Desktop"/>
    <s v="25-34"/>
    <x v="4"/>
    <x v="1"/>
    <n v="2024"/>
    <n v="4137.83"/>
    <n v="689219"/>
    <n v="5252"/>
    <n v="193"/>
    <n v="2998.72"/>
    <n v="0.76202194077644403"/>
    <n v="0.57096725057121089"/>
    <n v="15.53740932642487"/>
    <n v="1.3798654092412763"/>
    <s v="🔴 Low"/>
  </r>
  <r>
    <n v="837"/>
    <s v="Di_Interstitial_2023"/>
    <x v="0"/>
    <s v="Retargeting"/>
    <s v="East"/>
    <s v="Tablet"/>
    <s v="18-24"/>
    <x v="5"/>
    <x v="2"/>
    <n v="2023"/>
    <n v="18732.03"/>
    <n v="662916"/>
    <n v="14130"/>
    <n v="1827"/>
    <n v="12111.97"/>
    <n v="2.1314917727132849"/>
    <n v="0.85718117480537859"/>
    <n v="6.6294307608100711"/>
    <n v="1.5465716972548644"/>
    <s v="🟡 Mid"/>
  </r>
  <r>
    <n v="838"/>
    <s v="Di_Rich_Media_2023"/>
    <x v="0"/>
    <s v="Brand Awareness"/>
    <s v="South"/>
    <s v="Mobile"/>
    <s v="35-44"/>
    <x v="0"/>
    <x v="0"/>
    <n v="2023"/>
    <n v="2008.94"/>
    <n v="383952"/>
    <n v="3492"/>
    <n v="65"/>
    <n v="1380.84"/>
    <n v="0.90948868608576072"/>
    <n v="0.39542955326460477"/>
    <n v="21.243692307692307"/>
    <n v="1.4548680513310739"/>
    <s v="🔴 Low"/>
  </r>
  <r>
    <n v="839"/>
    <s v="Go_Discovery_2023"/>
    <x v="1"/>
    <s v="Brand Awareness"/>
    <s v="West"/>
    <s v="Desktop"/>
    <s v="45-54"/>
    <x v="3"/>
    <x v="3"/>
    <n v="2023"/>
    <n v="4600.7700000000004"/>
    <n v="445304"/>
    <n v="11100"/>
    <n v="206"/>
    <n v="4322.84"/>
    <n v="2.4926791585074466"/>
    <n v="0.38944504504504507"/>
    <n v="20.984660194174758"/>
    <n v="1.0642933812030981"/>
    <s v="🟡 Mid"/>
  </r>
  <r>
    <n v="840"/>
    <s v="Go_YouTube_PreRoll_2023"/>
    <x v="1"/>
    <s v="Brand Awareness"/>
    <s v="South"/>
    <s v="Tablet"/>
    <s v="55+"/>
    <x v="3"/>
    <x v="3"/>
    <n v="2023"/>
    <n v="2785.54"/>
    <n v="364462"/>
    <n v="11320"/>
    <n v="225"/>
    <n v="2237.46"/>
    <n v="3.105947945190445"/>
    <n v="0.19765547703180211"/>
    <n v="9.9442666666666675"/>
    <n v="1.2449563344149168"/>
    <s v="🟢 High"/>
  </r>
  <r>
    <n v="841"/>
    <s v="Di_Banner_Standard_2023"/>
    <x v="0"/>
    <s v="Lead Generation"/>
    <s v="Central"/>
    <s v="Tablet"/>
    <s v="35-44"/>
    <x v="7"/>
    <x v="0"/>
    <n v="2023"/>
    <n v="12319.16"/>
    <n v="566988"/>
    <n v="7328"/>
    <n v="360"/>
    <n v="11876.74"/>
    <n v="1.2924435790528195"/>
    <n v="1.6207341703056768"/>
    <n v="32.990944444444445"/>
    <n v="1.037250962806292"/>
    <s v="🔴 Low"/>
  </r>
  <r>
    <n v="842"/>
    <s v="Go_PMax_2023"/>
    <x v="1"/>
    <s v="Brand Awareness"/>
    <s v="East"/>
    <s v="Desktop"/>
    <s v="25-34"/>
    <x v="7"/>
    <x v="0"/>
    <n v="2023"/>
    <n v="5718.02"/>
    <n v="509967"/>
    <n v="14719"/>
    <n v="117"/>
    <n v="3651.68"/>
    <n v="2.8862651897083538"/>
    <n v="0.24809294109654187"/>
    <n v="31.210940170940169"/>
    <n v="1.5658600972702976"/>
    <s v="🟡 Mid"/>
  </r>
  <r>
    <n v="843"/>
    <s v="Di_Programmatic_2023"/>
    <x v="0"/>
    <s v="Retargeting"/>
    <s v="West"/>
    <s v="Mobile"/>
    <s v="55+"/>
    <x v="1"/>
    <x v="1"/>
    <n v="2023"/>
    <n v="5376.82"/>
    <n v="212488"/>
    <n v="632"/>
    <n v="52"/>
    <n v="4113.2"/>
    <n v="0.29742856067166146"/>
    <n v="6.5082278481012654"/>
    <n v="79.099999999999994"/>
    <n v="1.3072109306622581"/>
    <s v="🔴 Low"/>
  </r>
  <r>
    <n v="844"/>
    <s v="Di_Programmatic_2024"/>
    <x v="0"/>
    <s v="Lead Generation"/>
    <s v="South"/>
    <s v="Tablet"/>
    <s v="45-54"/>
    <x v="1"/>
    <x v="1"/>
    <n v="2024"/>
    <n v="8762.8799999999992"/>
    <n v="788369"/>
    <n v="394"/>
    <n v="22"/>
    <n v="6430.85"/>
    <n v="4.9976597253316664E-2"/>
    <n v="16.321954314720813"/>
    <n v="292.31136363636364"/>
    <n v="1.3626316894345225"/>
    <s v="🔴 Low"/>
  </r>
  <r>
    <n v="845"/>
    <s v="Go_Smart_Campaign_2023"/>
    <x v="1"/>
    <s v="Retargeting"/>
    <s v="South"/>
    <s v="Tablet"/>
    <s v="35-44"/>
    <x v="2"/>
    <x v="2"/>
    <n v="2023"/>
    <n v="9263.3700000000008"/>
    <n v="40399"/>
    <n v="1280"/>
    <n v="118"/>
    <n v="7907.49"/>
    <n v="3.1683952573083491"/>
    <n v="6.1777265625000002"/>
    <n v="67.012627118644062"/>
    <n v="1.171467810898275"/>
    <s v="🟢 High"/>
  </r>
  <r>
    <n v="846"/>
    <s v="Di_Retargeting_Display_2024"/>
    <x v="0"/>
    <s v="Retargeting"/>
    <s v="North"/>
    <s v="Desktop"/>
    <s v="25-34"/>
    <x v="2"/>
    <x v="2"/>
    <n v="2024"/>
    <n v="15922.48"/>
    <n v="380122"/>
    <n v="2283"/>
    <n v="181"/>
    <n v="10992.52"/>
    <n v="0.60059665054903433"/>
    <n v="4.8149452474813845"/>
    <n v="60.732154696132596"/>
    <n v="1.4484831503604267"/>
    <s v="🔴 Low"/>
  </r>
  <r>
    <n v="847"/>
    <s v="Fa_Lead_Form_2023"/>
    <x v="2"/>
    <s v="Lead Generation"/>
    <s v="East"/>
    <s v="Desktop"/>
    <s v="18-24"/>
    <x v="2"/>
    <x v="2"/>
    <n v="2023"/>
    <n v="14477.65"/>
    <n v="229156"/>
    <n v="1674"/>
    <n v="157"/>
    <n v="12101.71"/>
    <n v="0.73050672904047897"/>
    <n v="7.2292174432497012"/>
    <n v="77.080955414012735"/>
    <n v="1.1963309317443569"/>
    <s v="🔴 Low"/>
  </r>
  <r>
    <n v="848"/>
    <s v="Fa_Stories_2024"/>
    <x v="2"/>
    <s v="Traffic"/>
    <s v="South"/>
    <s v="Tablet"/>
    <s v="25-34"/>
    <x v="7"/>
    <x v="0"/>
    <n v="2024"/>
    <n v="14467.18"/>
    <n v="708956"/>
    <n v="12705"/>
    <n v="155"/>
    <n v="14104.33"/>
    <n v="1.792071722363588"/>
    <n v="1.1101401023219204"/>
    <n v="90.995677419354834"/>
    <n v="1.0257261422556052"/>
    <s v="🟡 Mid"/>
  </r>
  <r>
    <n v="849"/>
    <s v="Fa_Messenger_2024"/>
    <x v="2"/>
    <s v="Conversions"/>
    <s v="East"/>
    <s v="Desktop"/>
    <s v="25-34"/>
    <x v="8"/>
    <x v="0"/>
    <n v="2024"/>
    <n v="10223.69"/>
    <n v="292745"/>
    <n v="4020"/>
    <n v="249"/>
    <n v="7537.8"/>
    <n v="1.373208765307691"/>
    <n v="1.8750746268656717"/>
    <n v="30.272289156626506"/>
    <n v="1.3563227997558971"/>
    <s v="🔴 Low"/>
  </r>
  <r>
    <n v="850"/>
    <s v="Fa_Reels_2023"/>
    <x v="2"/>
    <s v="Traffic"/>
    <s v="North"/>
    <s v="Mobile"/>
    <s v="18-24"/>
    <x v="3"/>
    <x v="3"/>
    <n v="2023"/>
    <n v="18277.04"/>
    <n v="303179"/>
    <n v="5221"/>
    <n v="72"/>
    <n v="18388.14"/>
    <n v="1.7220849729037961"/>
    <n v="3.5219574794100748"/>
    <n v="255.39083333333332"/>
    <n v="0.99395806209872239"/>
    <s v="🟡 Mid"/>
  </r>
  <r>
    <n v="851"/>
    <s v="Go_Search_Brand_2024"/>
    <x v="1"/>
    <s v="Conversions"/>
    <s v="North"/>
    <s v="Desktop"/>
    <s v="45-54"/>
    <x v="7"/>
    <x v="0"/>
    <n v="2024"/>
    <n v="14603.45"/>
    <n v="293016"/>
    <n v="7651"/>
    <n v="425"/>
    <n v="13513.12"/>
    <n v="2.6111202118655639"/>
    <n v="1.7661900405175794"/>
    <n v="31.795576470588237"/>
    <n v="1.0806867695987308"/>
    <s v="🟡 Mid"/>
  </r>
  <r>
    <n v="852"/>
    <s v="Fa_Feed_Image_2023"/>
    <x v="2"/>
    <s v="Retargeting"/>
    <s v="East"/>
    <s v="Tablet"/>
    <s v="45-54"/>
    <x v="4"/>
    <x v="1"/>
    <n v="2023"/>
    <n v="16939.98"/>
    <n v="652995"/>
    <n v="13191"/>
    <n v="899"/>
    <n v="11757.8"/>
    <n v="2.0200767234052326"/>
    <n v="0.89135016298991732"/>
    <n v="13.078754171301446"/>
    <n v="1.4407440167378252"/>
    <s v="🟡 Mid"/>
  </r>
  <r>
    <n v="853"/>
    <s v="Go_Shopping_2023"/>
    <x v="1"/>
    <s v="Brand Awareness"/>
    <s v="East"/>
    <s v="Tablet"/>
    <s v="45-54"/>
    <x v="11"/>
    <x v="2"/>
    <n v="2023"/>
    <n v="2216.33"/>
    <n v="764282"/>
    <n v="24396"/>
    <n v="452"/>
    <n v="2250.94"/>
    <n v="3.1920155125987533"/>
    <n v="9.2266765043449744E-2"/>
    <n v="4.9799557522123896"/>
    <n v="0.98462420144472973"/>
    <s v="🟢 High"/>
  </r>
  <r>
    <n v="854"/>
    <s v="Di_Banner_Standard_2023"/>
    <x v="0"/>
    <s v="Conversions"/>
    <s v="North"/>
    <s v="Desktop"/>
    <s v="18-24"/>
    <x v="5"/>
    <x v="2"/>
    <n v="2023"/>
    <n v="5642.68"/>
    <n v="726338"/>
    <n v="3076"/>
    <n v="285"/>
    <n v="5311.14"/>
    <n v="0.42349429604399058"/>
    <n v="1.7266384915474644"/>
    <n v="18.635578947368423"/>
    <n v="1.0624235098302812"/>
    <s v="🔴 Low"/>
  </r>
  <r>
    <n v="855"/>
    <s v="Fa_Carousel_2024"/>
    <x v="2"/>
    <s v="Lead Generation"/>
    <s v="Central"/>
    <s v="Mobile"/>
    <s v="18-24"/>
    <x v="0"/>
    <x v="0"/>
    <n v="2024"/>
    <n v="17306.95"/>
    <n v="794614"/>
    <n v="6029"/>
    <n v="565"/>
    <n v="15013.77"/>
    <n v="0.75873317107425742"/>
    <n v="2.4902587493780062"/>
    <n v="26.57304424778761"/>
    <n v="1.1527384527670266"/>
    <s v="🔴 Low"/>
  </r>
  <r>
    <n v="856"/>
    <s v="Di_Rich_Media_2024"/>
    <x v="0"/>
    <s v="Traffic"/>
    <s v="Central"/>
    <s v="Desktop"/>
    <s v="55+"/>
    <x v="4"/>
    <x v="1"/>
    <n v="2024"/>
    <n v="19538.810000000001"/>
    <n v="342548"/>
    <n v="714"/>
    <n v="23"/>
    <n v="15684.52"/>
    <n v="0.20843794154395881"/>
    <n v="21.967114845938376"/>
    <n v="681.93565217391301"/>
    <n v="1.2457384733482439"/>
    <s v="🔴 Low"/>
  </r>
  <r>
    <n v="857"/>
    <s v="Go_YouTube_PreRoll_2023"/>
    <x v="1"/>
    <s v="Conversions"/>
    <s v="North"/>
    <s v="Mobile"/>
    <s v="55+"/>
    <x v="11"/>
    <x v="2"/>
    <n v="2023"/>
    <n v="14051.82"/>
    <n v="83794"/>
    <n v="2491"/>
    <n v="126"/>
    <n v="9706.67"/>
    <n v="2.972766546530778"/>
    <n v="3.8966961059815337"/>
    <n v="77.037063492063496"/>
    <n v="1.4476457940776806"/>
    <s v="🟡 Mid"/>
  </r>
  <r>
    <n v="858"/>
    <s v="Fa_Reels_2024"/>
    <x v="2"/>
    <s v="Retargeting"/>
    <s v="North"/>
    <s v="Mobile"/>
    <s v="25-34"/>
    <x v="9"/>
    <x v="3"/>
    <n v="2024"/>
    <n v="15329.52"/>
    <n v="331972"/>
    <n v="5208"/>
    <n v="607"/>
    <n v="13416.73"/>
    <n v="1.5688070078199365"/>
    <n v="2.5761770353302609"/>
    <n v="22.10334431630972"/>
    <n v="1.1425675257682013"/>
    <s v="🟡 Mid"/>
  </r>
  <r>
    <n v="859"/>
    <s v="Di_Rich_Media_2023"/>
    <x v="0"/>
    <s v="Lead Generation"/>
    <s v="South"/>
    <s v="Mobile"/>
    <s v="45-54"/>
    <x v="4"/>
    <x v="1"/>
    <n v="2023"/>
    <n v="15710.41"/>
    <n v="202083"/>
    <n v="2377"/>
    <n v="192"/>
    <n v="15704.56"/>
    <n v="1.176249362885547"/>
    <n v="6.6068826251577617"/>
    <n v="81.794583333333335"/>
    <n v="1.0003725032729347"/>
    <s v="🔴 Low"/>
  </r>
  <r>
    <n v="860"/>
    <s v="Di_Rich_Media_2023"/>
    <x v="0"/>
    <s v="Lead Generation"/>
    <s v="West"/>
    <s v="Desktop"/>
    <s v="18-24"/>
    <x v="11"/>
    <x v="2"/>
    <n v="2023"/>
    <n v="17934.91"/>
    <n v="201114"/>
    <n v="1848"/>
    <n v="103"/>
    <n v="14348.3"/>
    <n v="0.91888182821683229"/>
    <n v="7.7642316017316011"/>
    <n v="139.30388349514561"/>
    <n v="1.2499675919795377"/>
    <s v="🔴 Low"/>
  </r>
  <r>
    <n v="861"/>
    <s v="Di_Responsive_2024"/>
    <x v="0"/>
    <s v="Conversions"/>
    <s v="East"/>
    <s v="Desktop"/>
    <s v="55+"/>
    <x v="7"/>
    <x v="0"/>
    <n v="2024"/>
    <n v="8913.74"/>
    <n v="162936"/>
    <n v="450"/>
    <n v="33"/>
    <n v="7000.52"/>
    <n v="0.27618205921343347"/>
    <n v="15.556711111111111"/>
    <n v="212.13696969696971"/>
    <n v="1.2732968408061114"/>
    <s v="🔴 Low"/>
  </r>
  <r>
    <n v="862"/>
    <s v="Fa_Feed_Video_2024"/>
    <x v="2"/>
    <s v="Brand Awareness"/>
    <s v="West"/>
    <s v="Tablet"/>
    <s v="45-54"/>
    <x v="11"/>
    <x v="2"/>
    <n v="2024"/>
    <n v="4194.2700000000004"/>
    <n v="190225"/>
    <n v="3652"/>
    <n v="50"/>
    <n v="3449.44"/>
    <n v="1.919831778157445"/>
    <n v="0.9445345016429354"/>
    <n v="68.988799999999998"/>
    <n v="1.2159278027737837"/>
    <s v="🟡 Mid"/>
  </r>
  <r>
    <n v="863"/>
    <s v="Fa_Messenger_2023"/>
    <x v="2"/>
    <s v="Brand Awareness"/>
    <s v="North"/>
    <s v="Tablet"/>
    <s v="25-34"/>
    <x v="7"/>
    <x v="0"/>
    <n v="2023"/>
    <n v="2746.16"/>
    <n v="42421"/>
    <n v="539"/>
    <n v="6"/>
    <n v="1965.41"/>
    <n v="1.2705971099219726"/>
    <n v="3.646400742115028"/>
    <n v="327.56833333333333"/>
    <n v="1.3972453584748219"/>
    <s v="🔴 Low"/>
  </r>
  <r>
    <n v="864"/>
    <s v="Di_Video_Display_2024"/>
    <x v="0"/>
    <s v="Retargeting"/>
    <s v="West"/>
    <s v="Desktop"/>
    <s v="25-34"/>
    <x v="6"/>
    <x v="3"/>
    <n v="2024"/>
    <n v="10155.85"/>
    <n v="184337"/>
    <n v="980"/>
    <n v="120"/>
    <n v="7576.32"/>
    <n v="0.53163499460227737"/>
    <n v="7.7309387755102037"/>
    <n v="63.135999999999996"/>
    <n v="1.3404726833079914"/>
    <s v="🔴 Low"/>
  </r>
  <r>
    <n v="865"/>
    <s v="Fa_Stories_2024"/>
    <x v="2"/>
    <s v="Brand Awareness"/>
    <s v="North"/>
    <s v="Desktop"/>
    <s v="55+"/>
    <x v="6"/>
    <x v="3"/>
    <n v="2024"/>
    <n v="14912.27"/>
    <n v="726353"/>
    <n v="11847"/>
    <n v="71"/>
    <n v="10120.73"/>
    <n v="1.6310251351615537"/>
    <n v="0.85428631721110826"/>
    <n v="142.54549295774646"/>
    <n v="1.4734381808426864"/>
    <s v="🟡 Mid"/>
  </r>
  <r>
    <n v="866"/>
    <s v="Fa_Carousel_2023"/>
    <x v="2"/>
    <s v="Brand Awareness"/>
    <s v="West"/>
    <s v="Mobile"/>
    <s v="35-44"/>
    <x v="8"/>
    <x v="0"/>
    <n v="2023"/>
    <n v="19500.23"/>
    <n v="85716"/>
    <n v="1743"/>
    <n v="13"/>
    <n v="17926.75"/>
    <n v="2.0334593308133835"/>
    <n v="10.284997131382674"/>
    <n v="1378.9807692307693"/>
    <n v="1.0877727418522598"/>
    <s v="🟡 Mid"/>
  </r>
  <r>
    <n v="867"/>
    <s v="Go_Search_Competitor_2024"/>
    <x v="1"/>
    <s v="Retargeting"/>
    <s v="Central"/>
    <s v="Desktop"/>
    <s v="45-54"/>
    <x v="11"/>
    <x v="2"/>
    <n v="2024"/>
    <n v="2633.03"/>
    <n v="23235"/>
    <n v="327"/>
    <n v="41"/>
    <n v="2160.6999999999998"/>
    <n v="1.4073595868302131"/>
    <n v="6.6076452599388373"/>
    <n v="52.699999999999996"/>
    <n v="1.2186004535567179"/>
    <s v="🔴 Low"/>
  </r>
  <r>
    <n v="868"/>
    <s v="Go_Shopping_2024"/>
    <x v="1"/>
    <s v="Brand Awareness"/>
    <s v="North"/>
    <s v="Mobile"/>
    <s v="35-44"/>
    <x v="4"/>
    <x v="1"/>
    <n v="2024"/>
    <n v="14828.89"/>
    <n v="577223"/>
    <n v="12553"/>
    <n v="111"/>
    <n v="11927.28"/>
    <n v="2.1747227674572911"/>
    <n v="0.950153748108022"/>
    <n v="107.45297297297297"/>
    <n v="1.2432750803200729"/>
    <s v="🟡 Mid"/>
  </r>
  <r>
    <n v="869"/>
    <s v="Fa_Instant_Experience_2024"/>
    <x v="2"/>
    <s v="Brand Awareness"/>
    <s v="East"/>
    <s v="Mobile"/>
    <s v="35-44"/>
    <x v="10"/>
    <x v="1"/>
    <n v="2024"/>
    <n v="2698.84"/>
    <n v="724096"/>
    <n v="6449"/>
    <n v="46"/>
    <n v="2084.41"/>
    <n v="0.89062776206469862"/>
    <n v="0.32321445185300046"/>
    <n v="45.313260869565212"/>
    <n v="1.2947740607653966"/>
    <s v="🔴 Low"/>
  </r>
  <r>
    <n v="870"/>
    <s v="Go_Shopping_2024"/>
    <x v="1"/>
    <s v="Conversions"/>
    <s v="West"/>
    <s v="Desktop"/>
    <s v="25-34"/>
    <x v="9"/>
    <x v="3"/>
    <n v="2024"/>
    <n v="7508.69"/>
    <n v="785523"/>
    <n v="21315"/>
    <n v="1198"/>
    <n v="7408.61"/>
    <n v="2.7134787905637392"/>
    <n v="0.34757729298615997"/>
    <n v="6.1841485809682801"/>
    <n v="1.0135086068776733"/>
    <s v="🟡 Mid"/>
  </r>
  <r>
    <n v="871"/>
    <s v="Fa_Feed_Video_2024"/>
    <x v="2"/>
    <s v="Conversions"/>
    <s v="Central"/>
    <s v="Mobile"/>
    <s v="55+"/>
    <x v="0"/>
    <x v="0"/>
    <n v="2024"/>
    <n v="18251.38"/>
    <n v="370790"/>
    <n v="7340"/>
    <n v="581"/>
    <n v="18569.98"/>
    <n v="1.9795571617357535"/>
    <n v="2.5299700272479564"/>
    <n v="31.962099827882959"/>
    <n v="0.98284327716023401"/>
    <s v="🟡 Mid"/>
  </r>
  <r>
    <n v="872"/>
    <s v="Fa_Reels_2023"/>
    <x v="2"/>
    <s v="Brand Awareness"/>
    <s v="Central"/>
    <s v="Tablet"/>
    <s v="35-44"/>
    <x v="9"/>
    <x v="3"/>
    <n v="2023"/>
    <n v="8952.4599999999991"/>
    <n v="482131"/>
    <n v="6160"/>
    <n v="83"/>
    <n v="8351.4"/>
    <n v="1.2776610506273192"/>
    <n v="1.3557467532467531"/>
    <n v="100.61927710843374"/>
    <n v="1.0719711665110041"/>
    <s v="🔴 Low"/>
  </r>
  <r>
    <n v="873"/>
    <s v="Fa_Stories_2023"/>
    <x v="2"/>
    <s v="Brand Awareness"/>
    <s v="North"/>
    <s v="Mobile"/>
    <s v="25-34"/>
    <x v="4"/>
    <x v="1"/>
    <n v="2023"/>
    <n v="10702.13"/>
    <n v="308858"/>
    <n v="3316"/>
    <n v="31"/>
    <n v="7716.98"/>
    <n v="1.0736325431104261"/>
    <n v="2.3271954161640531"/>
    <n v="248.93483870967739"/>
    <n v="1.3868287853538561"/>
    <s v="🔴 Low"/>
  </r>
  <r>
    <n v="874"/>
    <s v="Fa_Feed_Image_2023"/>
    <x v="2"/>
    <s v="Retargeting"/>
    <s v="North"/>
    <s v="Desktop"/>
    <s v="35-44"/>
    <x v="9"/>
    <x v="3"/>
    <n v="2023"/>
    <n v="1537.27"/>
    <n v="325677"/>
    <n v="3522"/>
    <n v="212"/>
    <n v="1149.8"/>
    <n v="1.0814395858473274"/>
    <n v="0.32646223736513341"/>
    <n v="5.4235849056603769"/>
    <n v="1.3369890415724475"/>
    <s v="🔴 Low"/>
  </r>
  <r>
    <n v="875"/>
    <s v="Go_Search_Brand_2023"/>
    <x v="1"/>
    <s v="Conversions"/>
    <s v="South"/>
    <s v="Mobile"/>
    <s v="35-44"/>
    <x v="10"/>
    <x v="1"/>
    <n v="2023"/>
    <n v="19096.86"/>
    <n v="752841"/>
    <n v="19462"/>
    <n v="1241"/>
    <n v="16152.02"/>
    <n v="2.5851408199075236"/>
    <n v="0.82992600965984997"/>
    <n v="13.01532634971797"/>
    <n v="1.1823202299155151"/>
    <s v="🟡 Mid"/>
  </r>
  <r>
    <n v="876"/>
    <s v="Go_YouTube_PreRoll_2024"/>
    <x v="1"/>
    <s v="Lead Generation"/>
    <s v="North"/>
    <s v="Mobile"/>
    <s v="35-44"/>
    <x v="11"/>
    <x v="2"/>
    <n v="2024"/>
    <n v="8739.98"/>
    <n v="107905"/>
    <n v="4795"/>
    <n v="448"/>
    <n v="8621.83"/>
    <n v="4.4437236457995457"/>
    <n v="1.7980875912408758"/>
    <n v="19.245156250000001"/>
    <n v="1.0137035872894733"/>
    <s v="🟢 High"/>
  </r>
  <r>
    <n v="877"/>
    <s v="Di_Programmatic_2023"/>
    <x v="0"/>
    <s v="Lead Generation"/>
    <s v="Central"/>
    <s v="Mobile"/>
    <s v="35-44"/>
    <x v="9"/>
    <x v="3"/>
    <n v="2023"/>
    <n v="13824.76"/>
    <n v="214197"/>
    <n v="1499"/>
    <n v="77"/>
    <n v="10065.790000000001"/>
    <n v="0.69982306008020656"/>
    <n v="6.7150033355570384"/>
    <n v="130.72454545454548"/>
    <n v="1.3734401373364633"/>
    <s v="🔴 Low"/>
  </r>
  <r>
    <n v="878"/>
    <s v="Fa_Instant_Experience_2023"/>
    <x v="2"/>
    <s v="Traffic"/>
    <s v="South"/>
    <s v="Mobile"/>
    <s v="45-54"/>
    <x v="7"/>
    <x v="0"/>
    <n v="2023"/>
    <n v="10768.14"/>
    <n v="732851"/>
    <n v="15527"/>
    <n v="301"/>
    <n v="10688.99"/>
    <n v="2.118711716297037"/>
    <n v="0.68841308688091707"/>
    <n v="35.511594684385379"/>
    <n v="1.0074048156093325"/>
    <s v="🟡 Mid"/>
  </r>
  <r>
    <n v="879"/>
    <s v="Di_Retargeting_Display_2024"/>
    <x v="0"/>
    <s v="Retargeting"/>
    <s v="East"/>
    <s v="Mobile"/>
    <s v="45-54"/>
    <x v="1"/>
    <x v="1"/>
    <n v="2024"/>
    <n v="9495.0400000000009"/>
    <n v="591058"/>
    <n v="9110"/>
    <n v="611"/>
    <n v="6257.67"/>
    <n v="1.5413038991097321"/>
    <n v="0.68690120746432493"/>
    <n v="10.241685761047464"/>
    <n v="1.5173443150565626"/>
    <s v="🟡 Mid"/>
  </r>
  <r>
    <n v="880"/>
    <s v="Fa_Reels_2024"/>
    <x v="2"/>
    <s v="Traffic"/>
    <s v="Central"/>
    <s v="Mobile"/>
    <s v="25-34"/>
    <x v="9"/>
    <x v="3"/>
    <n v="2024"/>
    <n v="1543.95"/>
    <n v="416733"/>
    <n v="7255"/>
    <n v="99"/>
    <n v="1360.89"/>
    <n v="1.7409228450830629"/>
    <n v="0.18757960027567197"/>
    <n v="13.746363636363638"/>
    <n v="1.1345149130348522"/>
    <s v="🟡 Mid"/>
  </r>
  <r>
    <n v="881"/>
    <s v="Fa_Instant_Experience_2023"/>
    <x v="2"/>
    <s v="Brand Awareness"/>
    <s v="North"/>
    <s v="Desktop"/>
    <s v="35-44"/>
    <x v="3"/>
    <x v="3"/>
    <n v="2023"/>
    <n v="7002.93"/>
    <n v="107130"/>
    <n v="2016"/>
    <n v="30"/>
    <n v="6743.91"/>
    <n v="1.8818258190982917"/>
    <n v="3.3451934523809523"/>
    <n v="224.797"/>
    <n v="1.0384079858716977"/>
    <s v="🟡 Mid"/>
  </r>
  <r>
    <n v="882"/>
    <s v="Go_Search_Brand_2024"/>
    <x v="1"/>
    <s v="Lead Generation"/>
    <s v="Central"/>
    <s v="Desktop"/>
    <s v="55+"/>
    <x v="6"/>
    <x v="3"/>
    <n v="2024"/>
    <n v="3159.85"/>
    <n v="713502"/>
    <n v="15834"/>
    <n v="1241"/>
    <n v="2101.3200000000002"/>
    <n v="2.2191949006449878"/>
    <n v="0.13270935960591135"/>
    <n v="1.6932473811442386"/>
    <n v="1.5037452648811223"/>
    <s v="🟡 Mid"/>
  </r>
  <r>
    <n v="883"/>
    <s v="Di_Programmatic_2023"/>
    <x v="0"/>
    <s v="Brand Awareness"/>
    <s v="West"/>
    <s v="Tablet"/>
    <s v="25-34"/>
    <x v="7"/>
    <x v="0"/>
    <n v="2023"/>
    <n v="500.7"/>
    <n v="638120"/>
    <n v="7282"/>
    <n v="63"/>
    <n v="322.20999999999998"/>
    <n v="1.1411646712217138"/>
    <n v="4.4247459489151326E-2"/>
    <n v="5.1144444444444437"/>
    <n v="1.5539554948635983"/>
    <s v="🔴 Low"/>
  </r>
  <r>
    <n v="884"/>
    <s v="Go_Discovery_2024"/>
    <x v="1"/>
    <s v="Retargeting"/>
    <s v="North"/>
    <s v="Desktop"/>
    <s v="35-44"/>
    <x v="1"/>
    <x v="1"/>
    <n v="2024"/>
    <n v="19662.580000000002"/>
    <n v="251339"/>
    <n v="5994"/>
    <n v="763"/>
    <n v="16312.51"/>
    <n v="2.3848268672987483"/>
    <n v="2.7214731398064731"/>
    <n v="21.379436435124507"/>
    <n v="1.2053681499658853"/>
    <s v="🟡 Mid"/>
  </r>
  <r>
    <n v="885"/>
    <s v="Di_Responsive_2023"/>
    <x v="0"/>
    <s v="Traffic"/>
    <s v="North"/>
    <s v="Mobile"/>
    <s v="25-34"/>
    <x v="3"/>
    <x v="3"/>
    <n v="2023"/>
    <n v="4103.75"/>
    <n v="785768"/>
    <n v="4179"/>
    <n v="134"/>
    <n v="3404.5"/>
    <n v="0.53183636900459164"/>
    <n v="0.81466858100023931"/>
    <n v="25.406716417910449"/>
    <n v="1.2053899250991336"/>
    <s v="🔴 Low"/>
  </r>
  <r>
    <n v="886"/>
    <s v="Fa_Instant_Experience_2024"/>
    <x v="2"/>
    <s v="Conversions"/>
    <s v="East"/>
    <s v="Tablet"/>
    <s v="18-24"/>
    <x v="9"/>
    <x v="3"/>
    <n v="2024"/>
    <n v="7663.12"/>
    <n v="293548"/>
    <n v="3946"/>
    <n v="305"/>
    <n v="6843.27"/>
    <n v="1.3442435308705902"/>
    <n v="1.7342295995945263"/>
    <n v="22.436950819672134"/>
    <n v="1.1198038364699916"/>
    <s v="🔴 Low"/>
  </r>
  <r>
    <n v="887"/>
    <s v="Go_Discovery_2024"/>
    <x v="1"/>
    <s v="Retargeting"/>
    <s v="West"/>
    <s v="Desktop"/>
    <s v="18-24"/>
    <x v="5"/>
    <x v="2"/>
    <n v="2024"/>
    <n v="2842.47"/>
    <n v="413346"/>
    <n v="13324"/>
    <n v="1487"/>
    <n v="2771.84"/>
    <n v="3.2234496039637497"/>
    <n v="0.20803362353647553"/>
    <n v="1.8640484196368527"/>
    <n v="1.0254812687601014"/>
    <s v="🟢 High"/>
  </r>
  <r>
    <n v="888"/>
    <s v="Di_Responsive_2024"/>
    <x v="0"/>
    <s v="Brand Awareness"/>
    <s v="East"/>
    <s v="Desktop"/>
    <s v="45-54"/>
    <x v="6"/>
    <x v="3"/>
    <n v="2024"/>
    <n v="5899.63"/>
    <n v="171004"/>
    <n v="1247"/>
    <n v="12"/>
    <n v="5660.42"/>
    <n v="0.72922270824074287"/>
    <n v="4.5392301523656773"/>
    <n v="471.70166666666665"/>
    <n v="1.0422601149738004"/>
    <s v="🔴 Low"/>
  </r>
  <r>
    <n v="889"/>
    <s v="Di_Interstitial_2023"/>
    <x v="0"/>
    <s v="Conversions"/>
    <s v="Central"/>
    <s v="Mobile"/>
    <s v="55+"/>
    <x v="7"/>
    <x v="0"/>
    <n v="2023"/>
    <n v="13290.43"/>
    <n v="373959"/>
    <n v="1276"/>
    <n v="104"/>
    <n v="12767.3"/>
    <n v="0.34121387638751843"/>
    <n v="10.005721003134795"/>
    <n v="122.76249999999999"/>
    <n v="1.0409742075458399"/>
    <s v="🔴 Low"/>
  </r>
  <r>
    <n v="890"/>
    <s v="Go_YouTube_PreRoll_2024"/>
    <x v="1"/>
    <s v="Conversions"/>
    <s v="West"/>
    <s v="Desktop"/>
    <s v="45-54"/>
    <x v="1"/>
    <x v="1"/>
    <n v="2024"/>
    <n v="12313.92"/>
    <n v="194136"/>
    <n v="4398"/>
    <n v="397"/>
    <n v="12184.79"/>
    <n v="2.2654221782667823"/>
    <n v="2.7705297862664851"/>
    <n v="30.692166246851386"/>
    <n v="1.0105976385313165"/>
    <s v="🟡 Mid"/>
  </r>
  <r>
    <n v="891"/>
    <s v="Di_Programmatic_2024"/>
    <x v="0"/>
    <s v="Lead Generation"/>
    <s v="East"/>
    <s v="Tablet"/>
    <s v="55+"/>
    <x v="2"/>
    <x v="2"/>
    <n v="2024"/>
    <n v="1817.61"/>
    <n v="35955"/>
    <n v="314"/>
    <n v="14"/>
    <n v="1171.6500000000001"/>
    <n v="0.87331386455291338"/>
    <n v="3.7313694267515927"/>
    <n v="83.689285714285717"/>
    <n v="1.5513250544104467"/>
    <s v="🔴 Low"/>
  </r>
  <r>
    <n v="892"/>
    <s v="Di_Responsive_2023"/>
    <x v="0"/>
    <s v="Conversions"/>
    <s v="South"/>
    <s v="Tablet"/>
    <s v="25-34"/>
    <x v="7"/>
    <x v="0"/>
    <n v="2023"/>
    <n v="14699.18"/>
    <n v="407740"/>
    <n v="1892"/>
    <n v="194"/>
    <n v="11412.79"/>
    <n v="0.4640211899740031"/>
    <n v="6.0321300211416498"/>
    <n v="58.828814432989695"/>
    <n v="1.2879567572872188"/>
    <s v="🔴 Low"/>
  </r>
  <r>
    <n v="893"/>
    <s v="Go_Search_Brand_2023"/>
    <x v="1"/>
    <s v="Traffic"/>
    <s v="East"/>
    <s v="Desktop"/>
    <s v="18-24"/>
    <x v="6"/>
    <x v="3"/>
    <n v="2023"/>
    <n v="9109.7999999999993"/>
    <n v="397505"/>
    <n v="8142"/>
    <n v="307"/>
    <n v="6694.67"/>
    <n v="2.0482761223129269"/>
    <n v="0.8222390076148367"/>
    <n v="21.806742671009772"/>
    <n v="1.3607541521837521"/>
    <s v="🟡 Mid"/>
  </r>
  <r>
    <n v="894"/>
    <s v="Di_Responsive_2023"/>
    <x v="0"/>
    <s v="Retargeting"/>
    <s v="South"/>
    <s v="Tablet"/>
    <s v="55+"/>
    <x v="10"/>
    <x v="1"/>
    <n v="2023"/>
    <n v="4316.5"/>
    <n v="519958"/>
    <n v="547"/>
    <n v="51"/>
    <n v="3108.56"/>
    <n v="0.10520080468037804"/>
    <n v="5.6829250457038389"/>
    <n v="60.952156862745099"/>
    <n v="1.3885850683274572"/>
    <s v="🔴 Low"/>
  </r>
  <r>
    <n v="895"/>
    <s v="Go_Shopping_2023"/>
    <x v="1"/>
    <s v="Retargeting"/>
    <s v="Central"/>
    <s v="Desktop"/>
    <s v="18-24"/>
    <x v="9"/>
    <x v="3"/>
    <n v="2023"/>
    <n v="12767.76"/>
    <n v="706138"/>
    <n v="20527"/>
    <n v="1462"/>
    <n v="7688.74"/>
    <n v="2.9069388703058046"/>
    <n v="0.37456715545379254"/>
    <n v="5.2590560875512997"/>
    <n v="1.6605789765293144"/>
    <s v="🟡 Mid"/>
  </r>
  <r>
    <n v="896"/>
    <s v="Fa_Feed_Video_2023"/>
    <x v="2"/>
    <s v="Conversions"/>
    <s v="South"/>
    <s v="Tablet"/>
    <s v="55+"/>
    <x v="4"/>
    <x v="1"/>
    <n v="2023"/>
    <n v="16731.86"/>
    <n v="603076"/>
    <n v="10094"/>
    <n v="1089"/>
    <n v="13558.78"/>
    <n v="1.6737525618661659"/>
    <n v="1.343251436496929"/>
    <n v="12.450670339761249"/>
    <n v="1.2340240051096043"/>
    <s v="🟡 Mid"/>
  </r>
  <r>
    <n v="897"/>
    <s v="Fa_Carousel_2023"/>
    <x v="2"/>
    <s v="Brand Awareness"/>
    <s v="West"/>
    <s v="Mobile"/>
    <s v="45-54"/>
    <x v="7"/>
    <x v="0"/>
    <n v="2023"/>
    <n v="2980.25"/>
    <n v="547372"/>
    <n v="8348"/>
    <n v="70"/>
    <n v="2541.04"/>
    <n v="1.5251054127723012"/>
    <n v="0.30438907522759945"/>
    <n v="36.30057142857143"/>
    <n v="1.1728465510184807"/>
    <s v="🟡 Mid"/>
  </r>
  <r>
    <n v="898"/>
    <s v="Fa_Feed_Image_2024"/>
    <x v="2"/>
    <s v="Lead Generation"/>
    <s v="East"/>
    <s v="Mobile"/>
    <s v="45-54"/>
    <x v="6"/>
    <x v="3"/>
    <n v="2024"/>
    <n v="1825.08"/>
    <n v="170531"/>
    <n v="3136"/>
    <n v="307"/>
    <n v="1152.3699999999999"/>
    <n v="1.8389618309867413"/>
    <n v="0.36746492346938769"/>
    <n v="3.753648208469055"/>
    <n v="1.5837621597230058"/>
    <s v="🟡 Mid"/>
  </r>
  <r>
    <n v="899"/>
    <s v="Di_Interstitial_2023"/>
    <x v="0"/>
    <s v="Traffic"/>
    <s v="Central"/>
    <s v="Tablet"/>
    <s v="35-44"/>
    <x v="1"/>
    <x v="1"/>
    <n v="2023"/>
    <n v="11145.86"/>
    <n v="121260"/>
    <n v="60"/>
    <n v="2"/>
    <n v="9745.4699999999993"/>
    <n v="4.9480455220188027E-2"/>
    <n v="162.42449999999999"/>
    <n v="4872.7349999999997"/>
    <n v="1.1436965071977032"/>
    <s v="🔴 Low"/>
  </r>
  <r>
    <n v="900"/>
    <s v="Go_Search_Competitor_2023"/>
    <x v="1"/>
    <s v="Retargeting"/>
    <s v="East"/>
    <s v="Desktop"/>
    <s v="35-44"/>
    <x v="8"/>
    <x v="0"/>
    <n v="2023"/>
    <n v="4482.55"/>
    <n v="774521"/>
    <n v="17162"/>
    <n v="1482"/>
    <n v="4115.3599999999997"/>
    <n v="2.2158211333198197"/>
    <n v="0.23979489569980186"/>
    <n v="2.7768960863697703"/>
    <n v="1.0892242719956458"/>
    <s v="🟡 Mid"/>
  </r>
  <r>
    <n v="901"/>
    <s v="Go_PMax_2023"/>
    <x v="1"/>
    <s v="Retargeting"/>
    <s v="North"/>
    <s v="Tablet"/>
    <s v="55+"/>
    <x v="6"/>
    <x v="3"/>
    <n v="2023"/>
    <n v="7243.99"/>
    <n v="79200"/>
    <n v="2726"/>
    <n v="297"/>
    <n v="4591.6000000000004"/>
    <n v="3.441919191919192"/>
    <n v="1.6843727072633896"/>
    <n v="15.459932659932662"/>
    <n v="1.5776613816534539"/>
    <s v="🟢 High"/>
  </r>
  <r>
    <n v="902"/>
    <s v="Di_Responsive_2023"/>
    <x v="0"/>
    <s v="Lead Generation"/>
    <s v="East"/>
    <s v="Tablet"/>
    <s v="18-24"/>
    <x v="7"/>
    <x v="0"/>
    <n v="2023"/>
    <n v="10183.64"/>
    <n v="241186"/>
    <n v="1184"/>
    <n v="93"/>
    <n v="7955.83"/>
    <n v="0.49090743243803536"/>
    <n v="6.7194510135135133"/>
    <n v="85.546559139784947"/>
    <n v="1.2800223232522565"/>
    <s v="🔴 Low"/>
  </r>
  <r>
    <n v="903"/>
    <s v="Fa_Reels_2024"/>
    <x v="2"/>
    <s v="Brand Awareness"/>
    <s v="North"/>
    <s v="Desktop"/>
    <s v="25-34"/>
    <x v="10"/>
    <x v="1"/>
    <n v="2024"/>
    <n v="13797.85"/>
    <n v="778768"/>
    <n v="16898"/>
    <n v="182"/>
    <n v="10464.780000000001"/>
    <n v="2.1698374869023893"/>
    <n v="0.61929104035980598"/>
    <n v="57.498791208791211"/>
    <n v="1.3185035901375852"/>
    <s v="🟡 Mid"/>
  </r>
  <r>
    <n v="904"/>
    <s v="Go_Smart_Campaign_2023"/>
    <x v="1"/>
    <s v="Retargeting"/>
    <s v="Central"/>
    <s v="Desktop"/>
    <s v="18-24"/>
    <x v="4"/>
    <x v="1"/>
    <n v="2023"/>
    <n v="17994.36"/>
    <n v="390570"/>
    <n v="11190"/>
    <n v="986"/>
    <n v="13389.83"/>
    <n v="2.8650433981104539"/>
    <n v="1.1965889186773906"/>
    <n v="13.579949290060853"/>
    <n v="1.3438826333119989"/>
    <s v="🟡 Mid"/>
  </r>
  <r>
    <n v="905"/>
    <s v="Go_PMax_2024"/>
    <x v="1"/>
    <s v="Lead Generation"/>
    <s v="North"/>
    <s v="Tablet"/>
    <s v="18-24"/>
    <x v="11"/>
    <x v="2"/>
    <n v="2024"/>
    <n v="15075.78"/>
    <n v="567264"/>
    <n v="7967"/>
    <n v="325"/>
    <n v="13603.29"/>
    <n v="1.4044607096519435"/>
    <n v="1.7074544998117234"/>
    <n v="41.856276923076926"/>
    <n v="1.1082451377571161"/>
    <s v="🔴 Low"/>
  </r>
  <r>
    <n v="906"/>
    <s v="Go_Search_Generic_2023"/>
    <x v="1"/>
    <s v="Brand Awareness"/>
    <s v="South"/>
    <s v="Mobile"/>
    <s v="25-34"/>
    <x v="5"/>
    <x v="2"/>
    <n v="2023"/>
    <n v="6625.45"/>
    <n v="636678"/>
    <n v="13778"/>
    <n v="204"/>
    <n v="4654.93"/>
    <n v="2.1640452473620888"/>
    <n v="0.33785237334881696"/>
    <n v="22.818284313725492"/>
    <n v="1.4233189328303539"/>
    <s v="🟡 Mid"/>
  </r>
  <r>
    <n v="907"/>
    <s v="Fa_Carousel_2023"/>
    <x v="2"/>
    <s v="Traffic"/>
    <s v="West"/>
    <s v="Mobile"/>
    <s v="18-24"/>
    <x v="3"/>
    <x v="3"/>
    <n v="2023"/>
    <n v="1989.37"/>
    <n v="575054"/>
    <n v="10431"/>
    <n v="358"/>
    <n v="1943.63"/>
    <n v="1.8139166060926453"/>
    <n v="0.18633208704822166"/>
    <n v="5.4291340782122912"/>
    <n v="1.0235332856562205"/>
    <s v="🟡 Mid"/>
  </r>
  <r>
    <n v="908"/>
    <s v="Go_Discovery_2023"/>
    <x v="1"/>
    <s v="Conversions"/>
    <s v="East"/>
    <s v="Tablet"/>
    <s v="35-44"/>
    <x v="3"/>
    <x v="3"/>
    <n v="2023"/>
    <n v="10773.46"/>
    <n v="285531"/>
    <n v="10141"/>
    <n v="733"/>
    <n v="8913.92"/>
    <n v="3.5516283695990976"/>
    <n v="0.87899812641751307"/>
    <n v="12.16087312414734"/>
    <n v="1.2086108019816197"/>
    <s v="🟢 High"/>
  </r>
  <r>
    <n v="909"/>
    <s v="Go_Search_Brand_2024"/>
    <x v="1"/>
    <s v="Conversions"/>
    <s v="West"/>
    <s v="Tablet"/>
    <s v="55+"/>
    <x v="4"/>
    <x v="1"/>
    <n v="2024"/>
    <n v="2029.7"/>
    <n v="148792"/>
    <n v="4656"/>
    <n v="332"/>
    <n v="1689.21"/>
    <n v="3.1292004946502501"/>
    <n v="0.36280283505154642"/>
    <n v="5.0879819277108433"/>
    <n v="1.2015675966872088"/>
    <s v="🟢 High"/>
  </r>
  <r>
    <n v="910"/>
    <s v="Go_Search_Competitor_2024"/>
    <x v="1"/>
    <s v="Lead Generation"/>
    <s v="North"/>
    <s v="Desktop"/>
    <s v="45-54"/>
    <x v="3"/>
    <x v="3"/>
    <n v="2024"/>
    <n v="19084.38"/>
    <n v="27323"/>
    <n v="625"/>
    <n v="43"/>
    <n v="11721.2"/>
    <n v="2.2874501335870878"/>
    <n v="18.753920000000001"/>
    <n v="272.5860465116279"/>
    <n v="1.6281933590417363"/>
    <s v="🟡 Mid"/>
  </r>
  <r>
    <n v="911"/>
    <s v="Fa_Messenger_2024"/>
    <x v="2"/>
    <s v="Conversions"/>
    <s v="North"/>
    <s v="Desktop"/>
    <s v="35-44"/>
    <x v="9"/>
    <x v="3"/>
    <n v="2024"/>
    <n v="10159.469999999999"/>
    <n v="406172"/>
    <n v="6040"/>
    <n v="388"/>
    <n v="6882.63"/>
    <n v="1.4870547452803247"/>
    <n v="1.1395082781456953"/>
    <n v="17.738737113402063"/>
    <n v="1.4761028850889848"/>
    <s v="🔴 Low"/>
  </r>
  <r>
    <n v="912"/>
    <s v="Fa_Feed_Image_2024"/>
    <x v="2"/>
    <s v="Conversions"/>
    <s v="North"/>
    <s v="Tablet"/>
    <s v="35-44"/>
    <x v="8"/>
    <x v="0"/>
    <n v="2024"/>
    <n v="18492.62"/>
    <n v="280285"/>
    <n v="4764"/>
    <n v="508"/>
    <n v="15685.49"/>
    <n v="1.6996985211481173"/>
    <n v="3.2925041981528129"/>
    <n v="30.876948818897638"/>
    <n v="1.178963487911439"/>
    <s v="🟡 Mid"/>
  </r>
  <r>
    <n v="913"/>
    <s v="Go_Search_Competitor_2024"/>
    <x v="1"/>
    <s v="Traffic"/>
    <s v="West"/>
    <s v="Mobile"/>
    <s v="18-24"/>
    <x v="7"/>
    <x v="0"/>
    <n v="2024"/>
    <n v="19073.240000000002"/>
    <n v="715902"/>
    <n v="17489"/>
    <n v="455"/>
    <n v="14839.18"/>
    <n v="2.442932133169065"/>
    <n v="0.84848647721424897"/>
    <n v="32.613582417582421"/>
    <n v="1.2853297823734195"/>
    <s v="🟡 Mid"/>
  </r>
  <r>
    <n v="914"/>
    <s v="Di_Programmatic_2023"/>
    <x v="0"/>
    <s v="Lead Generation"/>
    <s v="West"/>
    <s v="Mobile"/>
    <s v="25-34"/>
    <x v="0"/>
    <x v="0"/>
    <n v="2023"/>
    <n v="5973.65"/>
    <n v="720756"/>
    <n v="15788"/>
    <n v="1532"/>
    <n v="3798.8"/>
    <n v="2.1904777761128593"/>
    <n v="0.24061312389156322"/>
    <n v="2.4796344647519581"/>
    <n v="1.5725097399178687"/>
    <s v="🟡 Mid"/>
  </r>
  <r>
    <n v="915"/>
    <s v="Go_YouTube_PreRoll_2024"/>
    <x v="1"/>
    <s v="Conversions"/>
    <s v="Central"/>
    <s v="Mobile"/>
    <s v="18-24"/>
    <x v="9"/>
    <x v="3"/>
    <n v="2024"/>
    <n v="7553.05"/>
    <n v="696252"/>
    <n v="19478"/>
    <n v="2025"/>
    <n v="4570.97"/>
    <n v="2.7975503122432679"/>
    <n v="0.23467347776979158"/>
    <n v="2.2572691358024692"/>
    <n v="1.6523954434179178"/>
    <s v="🟡 Mid"/>
  </r>
  <r>
    <n v="916"/>
    <s v="Fa_Lead_Form_2024"/>
    <x v="2"/>
    <s v="Conversions"/>
    <s v="South"/>
    <s v="Mobile"/>
    <s v="45-54"/>
    <x v="8"/>
    <x v="0"/>
    <n v="2024"/>
    <n v="672.98"/>
    <n v="43801"/>
    <n v="1019"/>
    <n v="119"/>
    <n v="539.52"/>
    <n v="2.3264309034040318"/>
    <n v="0.52946025515210993"/>
    <n v="4.5337815126050423"/>
    <n v="1.2473680308422301"/>
    <s v="🟡 Mid"/>
  </r>
  <r>
    <n v="917"/>
    <s v="Di_Interstitial_2024"/>
    <x v="0"/>
    <s v="Retargeting"/>
    <s v="North"/>
    <s v="Tablet"/>
    <s v="18-24"/>
    <x v="5"/>
    <x v="2"/>
    <n v="2024"/>
    <n v="19089.22"/>
    <n v="466834"/>
    <n v="4966"/>
    <n v="407"/>
    <n v="18421.16"/>
    <n v="1.063761422689864"/>
    <n v="3.7094563028594441"/>
    <n v="45.260835380835381"/>
    <n v="1.0362659029073089"/>
    <s v="🔴 Low"/>
  </r>
  <r>
    <n v="918"/>
    <s v="Go_PMax_2023"/>
    <x v="1"/>
    <s v="Lead Generation"/>
    <s v="South"/>
    <s v="Tablet"/>
    <s v="18-24"/>
    <x v="11"/>
    <x v="2"/>
    <n v="2023"/>
    <n v="13264.72"/>
    <n v="198205"/>
    <n v="7077"/>
    <n v="573"/>
    <n v="12753.23"/>
    <n v="3.5705456471834713"/>
    <n v="1.8020672601384766"/>
    <n v="22.256945898778358"/>
    <n v="1.0401067023804951"/>
    <s v="🟢 High"/>
  </r>
  <r>
    <n v="919"/>
    <s v="Di_Retargeting_Display_2024"/>
    <x v="0"/>
    <s v="Brand Awareness"/>
    <s v="Central"/>
    <s v="Tablet"/>
    <s v="25-34"/>
    <x v="8"/>
    <x v="0"/>
    <n v="2024"/>
    <n v="19518.009999999998"/>
    <n v="21901"/>
    <n v="59"/>
    <n v="0"/>
    <n v="17599.27"/>
    <n v="0.26939409159399114"/>
    <n v="298.29271186440678"/>
    <s v="-"/>
    <n v="1.1090238401933716"/>
    <s v="🔴 Low"/>
  </r>
  <r>
    <n v="920"/>
    <s v="Di_Interstitial_2023"/>
    <x v="0"/>
    <s v="Conversions"/>
    <s v="North"/>
    <s v="Desktop"/>
    <s v="55+"/>
    <x v="4"/>
    <x v="1"/>
    <n v="2023"/>
    <n v="10465.19"/>
    <n v="253490"/>
    <n v="126"/>
    <n v="8"/>
    <n v="8786.09"/>
    <n v="4.9706102804844367E-2"/>
    <n v="69.730873015873016"/>
    <n v="1098.26125"/>
    <n v="1.1911089005462043"/>
    <s v="🔴 Low"/>
  </r>
  <r>
    <n v="921"/>
    <s v="Di_Video_Display_2024"/>
    <x v="0"/>
    <s v="Brand Awareness"/>
    <s v="West"/>
    <s v="Mobile"/>
    <s v="25-34"/>
    <x v="8"/>
    <x v="0"/>
    <n v="2024"/>
    <n v="12335.85"/>
    <n v="382788"/>
    <n v="1681"/>
    <n v="24"/>
    <n v="9840.16"/>
    <n v="0.43914647272119289"/>
    <n v="5.8537537180249855"/>
    <n v="410.00666666666666"/>
    <n v="1.2536229085705923"/>
    <s v="🔴 Low"/>
  </r>
  <r>
    <n v="922"/>
    <s v="Fa_Feed_Image_2023"/>
    <x v="2"/>
    <s v="Lead Generation"/>
    <s v="East"/>
    <s v="Desktop"/>
    <s v="35-44"/>
    <x v="0"/>
    <x v="0"/>
    <n v="2023"/>
    <n v="2571.5300000000002"/>
    <n v="226752"/>
    <n v="4627"/>
    <n v="409"/>
    <n v="2094.6"/>
    <n v="2.040555320349986"/>
    <n v="0.4526907283336935"/>
    <n v="5.1212713936430312"/>
    <n v="1.2276950253031607"/>
    <s v="🟡 Mid"/>
  </r>
  <r>
    <n v="923"/>
    <s v="Di_Retargeting_Display_2023"/>
    <x v="0"/>
    <s v="Lead Generation"/>
    <s v="West"/>
    <s v="Tablet"/>
    <s v="18-24"/>
    <x v="3"/>
    <x v="3"/>
    <n v="2023"/>
    <n v="7931.25"/>
    <n v="685748"/>
    <n v="6011"/>
    <n v="577"/>
    <n v="5506.86"/>
    <n v="0.87656106908077025"/>
    <n v="0.91613042754949259"/>
    <n v="9.5439514731369144"/>
    <n v="1.4402490711585187"/>
    <s v="🔴 Low"/>
  </r>
  <r>
    <n v="924"/>
    <s v="Di_Video_Display_2024"/>
    <x v="0"/>
    <s v="Traffic"/>
    <s v="North"/>
    <s v="Tablet"/>
    <s v="18-24"/>
    <x v="9"/>
    <x v="3"/>
    <n v="2024"/>
    <n v="13354.36"/>
    <n v="550611"/>
    <n v="4376"/>
    <n v="101"/>
    <n v="9522.42"/>
    <n v="0.79475346478729991"/>
    <n v="2.1760557586837295"/>
    <n v="94.281386138613868"/>
    <n v="1.4024124119709067"/>
    <s v="🔴 Low"/>
  </r>
  <r>
    <n v="925"/>
    <s v="Di_Programmatic_2024"/>
    <x v="0"/>
    <s v="Lead Generation"/>
    <s v="East"/>
    <s v="Desktop"/>
    <s v="35-44"/>
    <x v="11"/>
    <x v="2"/>
    <n v="2024"/>
    <n v="6638.92"/>
    <n v="126023"/>
    <n v="642"/>
    <n v="62"/>
    <n v="5126.37"/>
    <n v="0.50943081818398228"/>
    <n v="7.9849999999999994"/>
    <n v="82.683387096774197"/>
    <n v="1.2950528346568819"/>
    <s v="🔴 Low"/>
  </r>
  <r>
    <n v="926"/>
    <s v="Go_Search_Competitor_2024"/>
    <x v="1"/>
    <s v="Traffic"/>
    <s v="Central"/>
    <s v="Desktop"/>
    <s v="35-44"/>
    <x v="3"/>
    <x v="3"/>
    <n v="2024"/>
    <n v="12301.76"/>
    <n v="475777"/>
    <n v="10903"/>
    <n v="366"/>
    <n v="8568.18"/>
    <n v="2.291619813484048"/>
    <n v="0.78585526919196558"/>
    <n v="23.410327868852459"/>
    <n v="1.4357494823871579"/>
    <s v="🟡 Mid"/>
  </r>
  <r>
    <n v="927"/>
    <s v="Go_PMax_2024"/>
    <x v="1"/>
    <s v="Retargeting"/>
    <s v="Central"/>
    <s v="Tablet"/>
    <s v="25-34"/>
    <x v="9"/>
    <x v="3"/>
    <n v="2024"/>
    <n v="16019.19"/>
    <n v="363163"/>
    <n v="9876"/>
    <n v="925"/>
    <n v="16226.86"/>
    <n v="2.719440031060433"/>
    <n v="1.6430599432968813"/>
    <n v="17.542551351351353"/>
    <n v="0.9872020834591535"/>
    <s v="🟡 Mid"/>
  </r>
  <r>
    <n v="928"/>
    <s v="Di_Responsive_2023"/>
    <x v="0"/>
    <s v="Lead Generation"/>
    <s v="South"/>
    <s v="Mobile"/>
    <s v="18-24"/>
    <x v="0"/>
    <x v="0"/>
    <n v="2023"/>
    <n v="8663.2000000000007"/>
    <n v="586517"/>
    <n v="5218"/>
    <n v="431"/>
    <n v="6907.53"/>
    <n v="0.88965878226888573"/>
    <n v="1.3237888079724032"/>
    <n v="16.026751740139211"/>
    <n v="1.254167553380152"/>
    <s v="🔴 Low"/>
  </r>
  <r>
    <n v="929"/>
    <s v="Go_Shopping_2023"/>
    <x v="1"/>
    <s v="Brand Awareness"/>
    <s v="West"/>
    <s v="Desktop"/>
    <s v="25-34"/>
    <x v="7"/>
    <x v="0"/>
    <n v="2023"/>
    <n v="10540.49"/>
    <n v="560021"/>
    <n v="20970"/>
    <n v="216"/>
    <n v="8105.36"/>
    <n v="3.7445024383014212"/>
    <n v="0.38652169766332856"/>
    <n v="37.52481481481481"/>
    <n v="1.300434527275778"/>
    <s v="🟢 High"/>
  </r>
  <r>
    <n v="930"/>
    <s v="Di_Interstitial_2023"/>
    <x v="0"/>
    <s v="Conversions"/>
    <s v="North"/>
    <s v="Mobile"/>
    <s v="35-44"/>
    <x v="9"/>
    <x v="3"/>
    <n v="2023"/>
    <n v="19885.62"/>
    <n v="52435"/>
    <n v="89"/>
    <n v="4"/>
    <n v="19621.22"/>
    <n v="0.1697339563268809"/>
    <n v="220.46314606741575"/>
    <n v="4905.3050000000003"/>
    <n v="1.0134752069443183"/>
    <s v="🔴 Low"/>
  </r>
  <r>
    <n v="931"/>
    <s v="Fa_Messenger_2023"/>
    <x v="2"/>
    <s v="Retargeting"/>
    <s v="West"/>
    <s v="Mobile"/>
    <s v="45-54"/>
    <x v="6"/>
    <x v="3"/>
    <n v="2023"/>
    <n v="14802.14"/>
    <n v="763862"/>
    <n v="13073"/>
    <n v="1763"/>
    <n v="9402.19"/>
    <n v="1.7114347879590814"/>
    <n v="0.71920676202860867"/>
    <n v="5.3330629608621667"/>
    <n v="1.5743289595296412"/>
    <s v="🟡 Mid"/>
  </r>
  <r>
    <n v="932"/>
    <s v="Go_Search_Competitor_2024"/>
    <x v="1"/>
    <s v="Retargeting"/>
    <s v="West"/>
    <s v="Mobile"/>
    <s v="45-54"/>
    <x v="0"/>
    <x v="0"/>
    <n v="2024"/>
    <n v="18922.98"/>
    <n v="106605"/>
    <n v="1803"/>
    <n v="141"/>
    <n v="15274.31"/>
    <n v="1.6912902771915015"/>
    <n v="8.471608430393788"/>
    <n v="108.32843971631205"/>
    <n v="1.238876256930755"/>
    <s v="🟡 Mid"/>
  </r>
  <r>
    <n v="933"/>
    <s v="Go_Smart_Campaign_2023"/>
    <x v="1"/>
    <s v="Conversions"/>
    <s v="East"/>
    <s v="Mobile"/>
    <s v="35-44"/>
    <x v="0"/>
    <x v="0"/>
    <n v="2023"/>
    <n v="1317.72"/>
    <n v="775310"/>
    <n v="26351"/>
    <n v="2111"/>
    <n v="944.63"/>
    <n v="3.398769524448285"/>
    <n v="3.5847975408902888E-2"/>
    <n v="0.44747986736144008"/>
    <n v="1.3949588727861704"/>
    <s v="🟢 High"/>
  </r>
  <r>
    <n v="934"/>
    <s v="Di_Retargeting_Display_2024"/>
    <x v="0"/>
    <s v="Brand Awareness"/>
    <s v="East"/>
    <s v="Mobile"/>
    <s v="25-34"/>
    <x v="7"/>
    <x v="0"/>
    <n v="2024"/>
    <n v="5840.05"/>
    <n v="465237"/>
    <n v="717"/>
    <n v="5"/>
    <n v="3919.34"/>
    <n v="0.15411499945189228"/>
    <n v="5.4663040446304043"/>
    <n v="783.86800000000005"/>
    <n v="1.4900595508427439"/>
    <s v="🔴 Low"/>
  </r>
  <r>
    <n v="935"/>
    <s v="Fa_Feed_Video_2023"/>
    <x v="2"/>
    <s v="Lead Generation"/>
    <s v="East"/>
    <s v="Desktop"/>
    <s v="18-24"/>
    <x v="11"/>
    <x v="2"/>
    <n v="2023"/>
    <n v="1033.33"/>
    <n v="46675"/>
    <n v="1028"/>
    <n v="90"/>
    <n v="622.89"/>
    <n v="2.202463845741832"/>
    <n v="0.60592412451361866"/>
    <n v="6.9210000000000003"/>
    <n v="1.6589285427603588"/>
    <s v="🟡 Mid"/>
  </r>
  <r>
    <n v="936"/>
    <s v="Go_Search_Competitor_2024"/>
    <x v="1"/>
    <s v="Lead Generation"/>
    <s v="East"/>
    <s v="Tablet"/>
    <s v="45-54"/>
    <x v="6"/>
    <x v="3"/>
    <n v="2024"/>
    <n v="10657.43"/>
    <n v="480895"/>
    <n v="12717"/>
    <n v="733"/>
    <n v="6885.11"/>
    <n v="2.6444442133937764"/>
    <n v="0.54140992372414876"/>
    <n v="9.3930559345156883"/>
    <n v="1.5478953858398778"/>
    <s v="🟡 Mid"/>
  </r>
  <r>
    <n v="937"/>
    <s v="Di_Rich_Media_2023"/>
    <x v="0"/>
    <s v="Retargeting"/>
    <s v="West"/>
    <s v="Mobile"/>
    <s v="35-44"/>
    <x v="7"/>
    <x v="0"/>
    <n v="2023"/>
    <n v="19865.009999999998"/>
    <n v="772173"/>
    <n v="443"/>
    <n v="55"/>
    <n v="18128.740000000002"/>
    <n v="5.7370563332310248E-2"/>
    <n v="40.922663656884879"/>
    <n v="329.6134545454546"/>
    <n v="1.0957744443353481"/>
    <s v="🔴 Low"/>
  </r>
  <r>
    <n v="938"/>
    <s v="Go_Search_Generic_2024"/>
    <x v="1"/>
    <s v="Conversions"/>
    <s v="South"/>
    <s v="Tablet"/>
    <s v="35-44"/>
    <x v="5"/>
    <x v="2"/>
    <n v="2024"/>
    <n v="12797.17"/>
    <n v="542756"/>
    <n v="8973"/>
    <n v="870"/>
    <n v="8076.51"/>
    <n v="1.6532290753119265"/>
    <n v="0.90009027081243731"/>
    <n v="9.2833448275862072"/>
    <n v="1.5844925592861272"/>
    <s v="🟡 Mid"/>
  </r>
  <r>
    <n v="939"/>
    <s v="Di_Retargeting_Display_2023"/>
    <x v="0"/>
    <s v="Brand Awareness"/>
    <s v="West"/>
    <s v="Desktop"/>
    <s v="55+"/>
    <x v="2"/>
    <x v="2"/>
    <n v="2023"/>
    <n v="16907.91"/>
    <n v="698245"/>
    <n v="7449"/>
    <n v="143"/>
    <n v="14599.3"/>
    <n v="1.0668175210706843"/>
    <n v="1.9599006578064169"/>
    <n v="102.09300699300699"/>
    <n v="1.1581315542526012"/>
    <s v="🔴 Low"/>
  </r>
  <r>
    <n v="940"/>
    <s v="Go_Shopping_2024"/>
    <x v="1"/>
    <s v="Traffic"/>
    <s v="West"/>
    <s v="Desktop"/>
    <s v="25-34"/>
    <x v="5"/>
    <x v="2"/>
    <n v="2024"/>
    <n v="3452.95"/>
    <n v="201193"/>
    <n v="4430"/>
    <n v="141"/>
    <n v="2481.61"/>
    <n v="2.2018658700849434"/>
    <n v="0.56018284424379239"/>
    <n v="17.600070921985818"/>
    <n v="1.3914152505832906"/>
    <s v="🟡 Mid"/>
  </r>
  <r>
    <n v="941"/>
    <s v="Go_Search_Generic_2024"/>
    <x v="1"/>
    <s v="Traffic"/>
    <s v="South"/>
    <s v="Desktop"/>
    <s v="45-54"/>
    <x v="7"/>
    <x v="0"/>
    <n v="2024"/>
    <n v="11375.87"/>
    <n v="223677"/>
    <n v="6184"/>
    <n v="189"/>
    <n v="9756.16"/>
    <n v="2.7647008856520787"/>
    <n v="1.5776455368693403"/>
    <n v="51.619894179894182"/>
    <n v="1.1660192124770403"/>
    <s v="🟡 Mid"/>
  </r>
  <r>
    <n v="942"/>
    <s v="Di_Interstitial_2023"/>
    <x v="0"/>
    <s v="Conversions"/>
    <s v="West"/>
    <s v="Tablet"/>
    <s v="25-34"/>
    <x v="5"/>
    <x v="2"/>
    <n v="2023"/>
    <n v="17563.259999999998"/>
    <n v="705423"/>
    <n v="3976"/>
    <n v="333"/>
    <n v="16415.21"/>
    <n v="0.56363345113499275"/>
    <n v="4.1285739436619719"/>
    <n v="49.294924924924921"/>
    <n v="1.0699381853780732"/>
    <s v="🔴 Low"/>
  </r>
  <r>
    <n v="943"/>
    <s v="Fa_Lead_Form_2023"/>
    <x v="2"/>
    <s v="Traffic"/>
    <s v="West"/>
    <s v="Mobile"/>
    <s v="18-24"/>
    <x v="11"/>
    <x v="2"/>
    <n v="2023"/>
    <n v="19276.919999999998"/>
    <n v="796634"/>
    <n v="13109"/>
    <n v="306"/>
    <n v="13569.15"/>
    <n v="1.6455486459277409"/>
    <n v="1.0351018384316117"/>
    <n v="44.343627450980392"/>
    <n v="1.4206431500867776"/>
    <s v="🟡 Mid"/>
  </r>
  <r>
    <n v="944"/>
    <s v="Fa_Feed_Video_2024"/>
    <x v="2"/>
    <s v="Lead Generation"/>
    <s v="West"/>
    <s v="Mobile"/>
    <s v="18-24"/>
    <x v="2"/>
    <x v="2"/>
    <n v="2024"/>
    <n v="14243.97"/>
    <n v="512236"/>
    <n v="5534"/>
    <n v="500"/>
    <n v="13715.29"/>
    <n v="1.0803613959190685"/>
    <n v="2.4783682688832673"/>
    <n v="27.430580000000003"/>
    <n v="1.0385467605861778"/>
    <s v="🔴 Low"/>
  </r>
  <r>
    <n v="945"/>
    <s v="Di_Video_Display_2023"/>
    <x v="0"/>
    <s v="Lead Generation"/>
    <s v="North"/>
    <s v="Mobile"/>
    <s v="35-44"/>
    <x v="10"/>
    <x v="1"/>
    <n v="2023"/>
    <n v="17851.310000000001"/>
    <n v="433873"/>
    <n v="6497"/>
    <n v="361"/>
    <n v="13092.15"/>
    <n v="1.4974428000820517"/>
    <n v="2.0151069724488226"/>
    <n v="36.266343490304706"/>
    <n v="1.3635124864899961"/>
    <s v="🔴 Low"/>
  </r>
  <r>
    <n v="946"/>
    <s v="Fa_Instant_Experience_2024"/>
    <x v="2"/>
    <s v="Retargeting"/>
    <s v="West"/>
    <s v="Mobile"/>
    <s v="18-24"/>
    <x v="5"/>
    <x v="2"/>
    <n v="2024"/>
    <n v="14699.64"/>
    <n v="361349"/>
    <n v="6939"/>
    <n v="769"/>
    <n v="9101.49"/>
    <n v="1.9203041934528671"/>
    <n v="1.311642888024211"/>
    <n v="11.835487646293888"/>
    <n v="1.6150806076807205"/>
    <s v="🟡 Mid"/>
  </r>
  <r>
    <n v="947"/>
    <s v="Fa_Messenger_2023"/>
    <x v="2"/>
    <s v="Lead Generation"/>
    <s v="Central"/>
    <s v="Desktop"/>
    <s v="55+"/>
    <x v="11"/>
    <x v="2"/>
    <n v="2023"/>
    <n v="18983.62"/>
    <n v="648095"/>
    <n v="9061"/>
    <n v="655"/>
    <n v="18966.86"/>
    <n v="1.3980975011379504"/>
    <n v="2.0932413640878491"/>
    <n v="28.957038167938933"/>
    <n v="1.0008836465287347"/>
    <s v="🔴 Low"/>
  </r>
  <r>
    <n v="948"/>
    <s v="Go_Smart_Campaign_2023"/>
    <x v="1"/>
    <s v="Brand Awareness"/>
    <s v="East"/>
    <s v="Mobile"/>
    <s v="55+"/>
    <x v="7"/>
    <x v="0"/>
    <n v="2023"/>
    <n v="10613.66"/>
    <n v="384687"/>
    <n v="10122"/>
    <n v="131"/>
    <n v="10760.04"/>
    <n v="2.6312300649619038"/>
    <n v="1.0630349733254298"/>
    <n v="82.137709923664133"/>
    <n v="0.98639596135330343"/>
    <s v="🟡 Mid"/>
  </r>
  <r>
    <n v="949"/>
    <s v="Di_Video_Display_2024"/>
    <x v="0"/>
    <s v="Lead Generation"/>
    <s v="East"/>
    <s v="Desktop"/>
    <s v="35-44"/>
    <x v="2"/>
    <x v="2"/>
    <n v="2024"/>
    <n v="4704.49"/>
    <n v="773956"/>
    <n v="5422"/>
    <n v="491"/>
    <n v="4314.7299999999996"/>
    <n v="0.7005566207898124"/>
    <n v="0.79578199926226478"/>
    <n v="8.78763747454175"/>
    <n v="1.0903324194097894"/>
    <s v="🔴 Low"/>
  </r>
  <r>
    <n v="950"/>
    <s v="Di_Rich_Media_2024"/>
    <x v="0"/>
    <s v="Traffic"/>
    <s v="West"/>
    <s v="Mobile"/>
    <s v="18-24"/>
    <x v="0"/>
    <x v="0"/>
    <n v="2024"/>
    <n v="6378.6"/>
    <n v="246177"/>
    <n v="1927"/>
    <n v="55"/>
    <n v="5670.51"/>
    <n v="0.78277012068552299"/>
    <n v="2.9426621691748833"/>
    <n v="103.10018181818182"/>
    <n v="1.1248723659776634"/>
    <s v="🔴 Low"/>
  </r>
  <r>
    <n v="951"/>
    <s v="Go_YouTube_PreRoll_2024"/>
    <x v="1"/>
    <s v="Brand Awareness"/>
    <s v="West"/>
    <s v="Tablet"/>
    <s v="45-54"/>
    <x v="0"/>
    <x v="0"/>
    <n v="2024"/>
    <n v="17308.68"/>
    <n v="85244"/>
    <n v="2996"/>
    <n v="49"/>
    <n v="13404.87"/>
    <n v="3.5146168645300548"/>
    <n v="4.4742556742323103"/>
    <n v="273.56877551020409"/>
    <n v="1.2912232643807811"/>
    <s v="🟢 High"/>
  </r>
  <r>
    <n v="952"/>
    <s v="Go_Shopping_2024"/>
    <x v="1"/>
    <s v="Brand Awareness"/>
    <s v="Central"/>
    <s v="Mobile"/>
    <s v="25-34"/>
    <x v="9"/>
    <x v="3"/>
    <n v="2024"/>
    <n v="15803.05"/>
    <n v="450804"/>
    <n v="14237"/>
    <n v="180"/>
    <n v="9637.35"/>
    <n v="3.1581352428106233"/>
    <n v="0.6769228067710894"/>
    <n v="53.540833333333339"/>
    <n v="1.6397713064275967"/>
    <s v="🟢 High"/>
  </r>
  <r>
    <n v="953"/>
    <s v="Fa_Instant_Experience_2024"/>
    <x v="2"/>
    <s v="Lead Generation"/>
    <s v="North"/>
    <s v="Mobile"/>
    <s v="55+"/>
    <x v="4"/>
    <x v="1"/>
    <n v="2024"/>
    <n v="6179.15"/>
    <n v="102582"/>
    <n v="1732"/>
    <n v="98"/>
    <n v="4445.6400000000003"/>
    <n v="1.6884053732623656"/>
    <n v="2.566766743648961"/>
    <n v="45.363673469387756"/>
    <n v="1.3899348575233261"/>
    <s v="🟡 Mid"/>
  </r>
  <r>
    <n v="954"/>
    <s v="Di_Interstitial_2023"/>
    <x v="0"/>
    <s v="Retargeting"/>
    <s v="North"/>
    <s v="Mobile"/>
    <s v="45-54"/>
    <x v="2"/>
    <x v="2"/>
    <n v="2023"/>
    <n v="9319.27"/>
    <n v="610950"/>
    <n v="7348"/>
    <n v="1014"/>
    <n v="7146.82"/>
    <n v="1.2027170799574434"/>
    <n v="0.97262112139357648"/>
    <n v="7.0481459566074944"/>
    <n v="1.3039743550278307"/>
    <s v="🔴 Low"/>
  </r>
  <r>
    <n v="955"/>
    <s v="Go_Discovery_2024"/>
    <x v="1"/>
    <s v="Conversions"/>
    <s v="West"/>
    <s v="Tablet"/>
    <s v="18-24"/>
    <x v="3"/>
    <x v="3"/>
    <n v="2024"/>
    <n v="6982.49"/>
    <n v="665512"/>
    <n v="20107"/>
    <n v="1243"/>
    <n v="6725.73"/>
    <n v="3.0212828619168399"/>
    <n v="0.33449694136370417"/>
    <n v="5.4108849557522118"/>
    <n v="1.0381757816623622"/>
    <s v="🟢 High"/>
  </r>
  <r>
    <n v="956"/>
    <s v="Fa_Reels_2023"/>
    <x v="2"/>
    <s v="Brand Awareness"/>
    <s v="South"/>
    <s v="Mobile"/>
    <s v="55+"/>
    <x v="4"/>
    <x v="1"/>
    <n v="2023"/>
    <n v="1649.19"/>
    <n v="522386"/>
    <n v="8181"/>
    <n v="71"/>
    <n v="1205.25"/>
    <n v="1.5660833176999382"/>
    <n v="0.14732306563989733"/>
    <n v="16.975352112676056"/>
    <n v="1.3683385189794648"/>
    <s v="🟡 Mid"/>
  </r>
  <r>
    <n v="957"/>
    <s v="Fa_Carousel_2024"/>
    <x v="2"/>
    <s v="Brand Awareness"/>
    <s v="East"/>
    <s v="Tablet"/>
    <s v="55+"/>
    <x v="9"/>
    <x v="3"/>
    <n v="2024"/>
    <n v="17492.84"/>
    <n v="286170"/>
    <n v="3700"/>
    <n v="62"/>
    <n v="14504.14"/>
    <n v="1.2929377642659956"/>
    <n v="3.9200378378378375"/>
    <n v="233.93774193548387"/>
    <n v="1.2060584081510521"/>
    <s v="🔴 Low"/>
  </r>
  <r>
    <n v="958"/>
    <s v="Fa_Reels_2023"/>
    <x v="2"/>
    <s v="Conversions"/>
    <s v="West"/>
    <s v="Tablet"/>
    <s v="45-54"/>
    <x v="10"/>
    <x v="1"/>
    <n v="2023"/>
    <n v="18463.990000000002"/>
    <n v="451380"/>
    <n v="3698"/>
    <n v="365"/>
    <n v="13991.79"/>
    <n v="0.81926536399486016"/>
    <n v="3.7836100594916173"/>
    <n v="38.333671232876718"/>
    <n v="1.3196302974815945"/>
    <s v="🔴 Low"/>
  </r>
  <r>
    <n v="959"/>
    <s v="Go_Shopping_2023"/>
    <x v="1"/>
    <s v="Traffic"/>
    <s v="North"/>
    <s v="Desktop"/>
    <s v="25-34"/>
    <x v="4"/>
    <x v="1"/>
    <n v="2023"/>
    <n v="1261.71"/>
    <n v="449787"/>
    <n v="9440"/>
    <n v="242"/>
    <n v="831.14"/>
    <n v="2.0987711961439524"/>
    <n v="8.8044491525423721E-2"/>
    <n v="3.4344628099173553"/>
    <n v="1.5180475010226917"/>
    <s v="🟡 Mid"/>
  </r>
  <r>
    <n v="960"/>
    <s v="Di_Video_Display_2024"/>
    <x v="0"/>
    <s v="Retargeting"/>
    <s v="North"/>
    <s v="Mobile"/>
    <s v="18-24"/>
    <x v="1"/>
    <x v="1"/>
    <n v="2024"/>
    <n v="14538.89"/>
    <n v="714553"/>
    <n v="5153"/>
    <n v="420"/>
    <n v="10691.93"/>
    <n v="0.72115014561551072"/>
    <n v="2.074894236367165"/>
    <n v="25.45697619047619"/>
    <n v="1.3598003353931423"/>
    <s v="🔴 Low"/>
  </r>
  <r>
    <n v="961"/>
    <s v="Fa_Carousel_2024"/>
    <x v="2"/>
    <s v="Lead Generation"/>
    <s v="East"/>
    <s v="Tablet"/>
    <s v="25-34"/>
    <x v="9"/>
    <x v="3"/>
    <n v="2024"/>
    <n v="10627.91"/>
    <n v="268443"/>
    <n v="3386"/>
    <n v="202"/>
    <n v="9710.09"/>
    <n v="1.2613478466564596"/>
    <n v="2.867717070289427"/>
    <n v="48.069752475247526"/>
    <n v="1.0945222958798528"/>
    <s v="🔴 Low"/>
  </r>
  <r>
    <n v="962"/>
    <s v="Go_Shopping_2023"/>
    <x v="1"/>
    <s v="Traffic"/>
    <s v="West"/>
    <s v="Desktop"/>
    <s v="35-44"/>
    <x v="1"/>
    <x v="1"/>
    <n v="2023"/>
    <n v="3431.81"/>
    <n v="75304"/>
    <n v="2153"/>
    <n v="85"/>
    <n v="2067.16"/>
    <n v="2.8590778710294273"/>
    <n v="0.96013005109150018"/>
    <n v="24.319529411764705"/>
    <n v="1.6601569302811587"/>
    <s v="🟡 Mid"/>
  </r>
  <r>
    <n v="963"/>
    <s v="Di_Interstitial_2023"/>
    <x v="0"/>
    <s v="Lead Generation"/>
    <s v="North"/>
    <s v="Tablet"/>
    <s v="45-54"/>
    <x v="2"/>
    <x v="2"/>
    <n v="2023"/>
    <n v="1691.6"/>
    <n v="496461"/>
    <n v="2710"/>
    <n v="211"/>
    <n v="1642.55"/>
    <n v="0.5458636227216237"/>
    <n v="0.60610701107011067"/>
    <n v="7.784597156398104"/>
    <n v="1.0298621046543484"/>
    <s v="🔴 Low"/>
  </r>
  <r>
    <n v="964"/>
    <s v="Fa_Feed_Image_2024"/>
    <x v="2"/>
    <s v="Lead Generation"/>
    <s v="East"/>
    <s v="Mobile"/>
    <s v="45-54"/>
    <x v="9"/>
    <x v="3"/>
    <n v="2024"/>
    <n v="7661.86"/>
    <n v="427857"/>
    <n v="6400"/>
    <n v="614"/>
    <n v="6402.76"/>
    <n v="1.4958268767368537"/>
    <n v="1.0004312500000001"/>
    <n v="10.427947882736158"/>
    <n v="1.1966495698729922"/>
    <s v="🔴 Low"/>
  </r>
  <r>
    <n v="965"/>
    <s v="Di_Interstitial_2023"/>
    <x v="0"/>
    <s v="Brand Awareness"/>
    <s v="Central"/>
    <s v="Desktop"/>
    <s v="18-24"/>
    <x v="6"/>
    <x v="3"/>
    <n v="2023"/>
    <n v="5959.72"/>
    <n v="280710"/>
    <n v="1292"/>
    <n v="16"/>
    <n v="5189.8900000000003"/>
    <n v="0.46026147981903032"/>
    <n v="4.0169427244582048"/>
    <n v="324.36812500000002"/>
    <n v="1.1483326236201539"/>
    <s v="🔴 Low"/>
  </r>
  <r>
    <n v="966"/>
    <s v="Fa_Lead_Form_2024"/>
    <x v="2"/>
    <s v="Traffic"/>
    <s v="Central"/>
    <s v="Tablet"/>
    <s v="35-44"/>
    <x v="6"/>
    <x v="3"/>
    <n v="2024"/>
    <n v="4581.4799999999996"/>
    <n v="7800"/>
    <n v="116"/>
    <n v="3"/>
    <n v="4652.1099999999997"/>
    <n v="1.4871794871794872"/>
    <n v="40.104396551724136"/>
    <n v="1550.7033333333331"/>
    <n v="0.98481764188722964"/>
    <s v="🔴 Low"/>
  </r>
  <r>
    <n v="967"/>
    <s v="Go_Shopping_2023"/>
    <x v="1"/>
    <s v="Lead Generation"/>
    <s v="South"/>
    <s v="Mobile"/>
    <s v="18-24"/>
    <x v="2"/>
    <x v="2"/>
    <n v="2023"/>
    <n v="17971.09"/>
    <n v="59724"/>
    <n v="2025"/>
    <n v="132"/>
    <n v="14342.9"/>
    <n v="3.3905967450271248"/>
    <n v="7.0829135802469132"/>
    <n v="108.65833333333333"/>
    <n v="1.2529606983246067"/>
    <s v="🟢 High"/>
  </r>
  <r>
    <n v="968"/>
    <s v="Fa_Feed_Video_2024"/>
    <x v="2"/>
    <s v="Lead Generation"/>
    <s v="Central"/>
    <s v="Mobile"/>
    <s v="45-54"/>
    <x v="1"/>
    <x v="1"/>
    <n v="2024"/>
    <n v="7422.34"/>
    <n v="552341"/>
    <n v="12637"/>
    <n v="745"/>
    <n v="4697.18"/>
    <n v="2.2878982367776426"/>
    <n v="0.3717005618422094"/>
    <n v="6.3049395973154363"/>
    <n v="1.5801693782226782"/>
    <s v="🟡 Mid"/>
  </r>
  <r>
    <n v="969"/>
    <s v="Di_Interstitial_2024"/>
    <x v="0"/>
    <s v="Lead Generation"/>
    <s v="East"/>
    <s v="Tablet"/>
    <s v="25-34"/>
    <x v="1"/>
    <x v="1"/>
    <n v="2024"/>
    <n v="10056.82"/>
    <n v="267709"/>
    <n v="1198"/>
    <n v="79"/>
    <n v="7504.76"/>
    <n v="0.44750083112633493"/>
    <n v="6.2644073455759601"/>
    <n v="94.996962025316463"/>
    <n v="1.3400588426545286"/>
    <s v="🔴 Low"/>
  </r>
  <r>
    <n v="970"/>
    <s v="Go_Search_Competitor_2023"/>
    <x v="1"/>
    <s v="Retargeting"/>
    <s v="East"/>
    <s v="Tablet"/>
    <s v="45-54"/>
    <x v="11"/>
    <x v="2"/>
    <n v="2023"/>
    <n v="7957.92"/>
    <n v="192700"/>
    <n v="4264"/>
    <n v="574"/>
    <n v="8101.83"/>
    <n v="2.2127659574468086"/>
    <n v="1.9000539399624765"/>
    <n v="14.114686411149826"/>
    <n v="0.98223734637729998"/>
    <s v="🟡 Mid"/>
  </r>
  <r>
    <n v="971"/>
    <s v="Go_Discovery_2024"/>
    <x v="1"/>
    <s v="Conversions"/>
    <s v="Central"/>
    <s v="Desktop"/>
    <s v="18-24"/>
    <x v="9"/>
    <x v="3"/>
    <n v="2024"/>
    <n v="6904.81"/>
    <n v="391785"/>
    <n v="12969"/>
    <n v="660"/>
    <n v="4934.67"/>
    <n v="3.3102339293234815"/>
    <n v="0.38049733981031691"/>
    <n v="7.4767727272727278"/>
    <n v="1.3992445290161248"/>
    <s v="🟢 High"/>
  </r>
  <r>
    <n v="972"/>
    <s v="Di_Programmatic_2023"/>
    <x v="0"/>
    <s v="Retargeting"/>
    <s v="West"/>
    <s v="Desktop"/>
    <s v="35-44"/>
    <x v="5"/>
    <x v="2"/>
    <n v="2023"/>
    <n v="19437.240000000002"/>
    <n v="36904"/>
    <n v="148"/>
    <n v="19"/>
    <n v="19234.73"/>
    <n v="0.40104053761109903"/>
    <n v="129.96439189189189"/>
    <n v="1012.3542105263158"/>
    <n v="1.0105283515807086"/>
    <s v="🔴 Low"/>
  </r>
  <r>
    <n v="973"/>
    <s v="Di_Responsive_2023"/>
    <x v="0"/>
    <s v="Retargeting"/>
    <s v="South"/>
    <s v="Mobile"/>
    <s v="55+"/>
    <x v="7"/>
    <x v="0"/>
    <n v="2023"/>
    <n v="7705.91"/>
    <n v="647693"/>
    <n v="6004"/>
    <n v="713"/>
    <n v="7442.24"/>
    <n v="0.92698238208533978"/>
    <n v="1.2395469686875416"/>
    <n v="10.437924263674613"/>
    <n v="1.0354288493786816"/>
    <s v="🔴 Low"/>
  </r>
  <r>
    <n v="974"/>
    <s v="Go_Search_Generic_2023"/>
    <x v="1"/>
    <s v="Retargeting"/>
    <s v="North"/>
    <s v="Desktop"/>
    <s v="45-54"/>
    <x v="3"/>
    <x v="3"/>
    <n v="2023"/>
    <n v="6627.61"/>
    <n v="575512"/>
    <n v="15091"/>
    <n v="1240"/>
    <n v="6349.79"/>
    <n v="2.6221868527502465"/>
    <n v="0.42076668212842089"/>
    <n v="5.1207983870967739"/>
    <n v="1.0437526280396674"/>
    <s v="🟡 Mid"/>
  </r>
  <r>
    <n v="975"/>
    <s v="Di_Banner_Standard_2024"/>
    <x v="0"/>
    <s v="Conversions"/>
    <s v="East"/>
    <s v="Tablet"/>
    <s v="25-34"/>
    <x v="9"/>
    <x v="3"/>
    <n v="2024"/>
    <n v="10568.64"/>
    <n v="701773"/>
    <n v="350"/>
    <n v="33"/>
    <n v="6629.51"/>
    <n v="4.98736771007149E-2"/>
    <n v="18.941457142857143"/>
    <n v="200.89424242424244"/>
    <n v="1.5941811687439944"/>
    <s v="🔴 Low"/>
  </r>
  <r>
    <n v="976"/>
    <s v="Di_Native_2024"/>
    <x v="0"/>
    <s v="Conversions"/>
    <s v="North"/>
    <s v="Desktop"/>
    <s v="45-54"/>
    <x v="8"/>
    <x v="0"/>
    <n v="2024"/>
    <n v="12366.32"/>
    <n v="727171"/>
    <n v="9053"/>
    <n v="772"/>
    <n v="8318.16"/>
    <n v="1.2449616390092564"/>
    <n v="0.91882911741963991"/>
    <n v="10.77481865284974"/>
    <n v="1.4866653202150475"/>
    <s v="🔴 Low"/>
  </r>
  <r>
    <n v="977"/>
    <s v="Di_Banner_Standard_2024"/>
    <x v="0"/>
    <s v="Conversions"/>
    <s v="East"/>
    <s v="Tablet"/>
    <s v="35-44"/>
    <x v="7"/>
    <x v="0"/>
    <n v="2024"/>
    <n v="9591.92"/>
    <n v="735115"/>
    <n v="12417"/>
    <n v="697"/>
    <n v="9453.4599999999991"/>
    <n v="1.6891234704774085"/>
    <n v="0.7613320447773213"/>
    <n v="13.563070301291248"/>
    <n v="1.0146464892219358"/>
    <s v="🟡 Mid"/>
  </r>
  <r>
    <n v="978"/>
    <s v="Go_Search_Generic_2023"/>
    <x v="1"/>
    <s v="Lead Generation"/>
    <s v="East"/>
    <s v="Tablet"/>
    <s v="18-24"/>
    <x v="0"/>
    <x v="0"/>
    <n v="2023"/>
    <n v="4741.75"/>
    <n v="397722"/>
    <n v="13499"/>
    <n v="912"/>
    <n v="4592.0200000000004"/>
    <n v="3.3940792815081888"/>
    <n v="0.34017482776501967"/>
    <n v="5.0351096491228073"/>
    <n v="1.0326065653024159"/>
    <s v="🟢 High"/>
  </r>
  <r>
    <n v="979"/>
    <s v="Go_YouTube_PreRoll_2024"/>
    <x v="1"/>
    <s v="Lead Generation"/>
    <s v="South"/>
    <s v="Mobile"/>
    <s v="18-24"/>
    <x v="1"/>
    <x v="1"/>
    <n v="2024"/>
    <n v="3971.08"/>
    <n v="152247"/>
    <n v="3540"/>
    <n v="319"/>
    <n v="2837.64"/>
    <n v="2.3251689688466768"/>
    <n v="0.80159322033898306"/>
    <n v="8.8954231974921623"/>
    <n v="1.3994305126795505"/>
    <s v="🟡 Mid"/>
  </r>
  <r>
    <n v="980"/>
    <s v="Go_Shopping_2023"/>
    <x v="1"/>
    <s v="Conversions"/>
    <s v="East"/>
    <s v="Tablet"/>
    <s v="45-54"/>
    <x v="5"/>
    <x v="2"/>
    <n v="2023"/>
    <n v="10052.77"/>
    <n v="611806"/>
    <n v="15873"/>
    <n v="1197"/>
    <n v="9292.74"/>
    <n v="2.5944498746334621"/>
    <n v="0.58544320544320538"/>
    <n v="7.7633583959899743"/>
    <n v="1.0817875029323967"/>
    <s v="🟡 Mid"/>
  </r>
  <r>
    <n v="981"/>
    <s v="Di_Responsive_2023"/>
    <x v="0"/>
    <s v="Lead Generation"/>
    <s v="North"/>
    <s v="Tablet"/>
    <s v="45-54"/>
    <x v="0"/>
    <x v="0"/>
    <n v="2023"/>
    <n v="19878.23"/>
    <n v="459928"/>
    <n v="818"/>
    <n v="71"/>
    <n v="13658.88"/>
    <n v="0.17785392496216798"/>
    <n v="16.697897310513447"/>
    <n v="192.37859154929578"/>
    <n v="1.4553338194639678"/>
    <s v="🔴 Low"/>
  </r>
  <r>
    <n v="982"/>
    <s v="Di_Programmatic_2024"/>
    <x v="0"/>
    <s v="Brand Awareness"/>
    <s v="Central"/>
    <s v="Desktop"/>
    <s v="35-44"/>
    <x v="11"/>
    <x v="2"/>
    <n v="2024"/>
    <n v="5586.5"/>
    <n v="125898"/>
    <n v="1823"/>
    <n v="23"/>
    <n v="4832.7"/>
    <n v="1.4479975853468681"/>
    <n v="2.6509599561162918"/>
    <n v="210.11739130434782"/>
    <n v="1.155979059325015"/>
    <s v="🔴 Low"/>
  </r>
  <r>
    <n v="983"/>
    <s v="Fa_Carousel_2024"/>
    <x v="2"/>
    <s v="Retargeting"/>
    <s v="Central"/>
    <s v="Mobile"/>
    <s v="35-44"/>
    <x v="9"/>
    <x v="3"/>
    <n v="2024"/>
    <n v="13336.94"/>
    <n v="40494"/>
    <n v="606"/>
    <n v="53"/>
    <n v="13049.26"/>
    <n v="1.4965180026670619"/>
    <n v="21.533432343234324"/>
    <n v="246.21245283018868"/>
    <n v="1.0220456945451313"/>
    <s v="🔴 Low"/>
  </r>
  <r>
    <n v="984"/>
    <s v="Go_Smart_Campaign_2024"/>
    <x v="1"/>
    <s v="Retargeting"/>
    <s v="East"/>
    <s v="Mobile"/>
    <s v="18-24"/>
    <x v="0"/>
    <x v="0"/>
    <n v="2024"/>
    <n v="6472.37"/>
    <n v="494518"/>
    <n v="14890"/>
    <n v="1544"/>
    <n v="5927.78"/>
    <n v="3.0110127437221701"/>
    <n v="0.39810476830087305"/>
    <n v="3.8392357512953366"/>
    <n v="1.0918708184176875"/>
    <s v="🟢 High"/>
  </r>
  <r>
    <n v="985"/>
    <s v="Fa_Instant_Experience_2024"/>
    <x v="2"/>
    <s v="Traffic"/>
    <s v="Central"/>
    <s v="Tablet"/>
    <s v="45-54"/>
    <x v="6"/>
    <x v="3"/>
    <n v="2024"/>
    <n v="9734.66"/>
    <n v="260421"/>
    <n v="4146"/>
    <n v="83"/>
    <n v="8615.11"/>
    <n v="1.5920375084958587"/>
    <n v="2.0779329474191992"/>
    <n v="103.79650602409639"/>
    <n v="1.1299519100742763"/>
    <s v="🟡 Mid"/>
  </r>
  <r>
    <n v="986"/>
    <s v="Fa_Feed_Image_2024"/>
    <x v="2"/>
    <s v="Lead Generation"/>
    <s v="Central"/>
    <s v="Desktop"/>
    <s v="45-54"/>
    <x v="1"/>
    <x v="1"/>
    <n v="2024"/>
    <n v="19102.650000000001"/>
    <n v="425216"/>
    <n v="8858"/>
    <n v="669"/>
    <n v="12777.59"/>
    <n v="2.0831765502709212"/>
    <n v="1.4424915330774442"/>
    <n v="19.099536621823617"/>
    <n v="1.4950119701759097"/>
    <s v="🟡 Mid"/>
  </r>
  <r>
    <n v="987"/>
    <s v="Go_YouTube_PreRoll_2023"/>
    <x v="1"/>
    <s v="Traffic"/>
    <s v="Central"/>
    <s v="Desktop"/>
    <s v="55+"/>
    <x v="0"/>
    <x v="0"/>
    <n v="2023"/>
    <n v="13436.43"/>
    <n v="61413"/>
    <n v="1979"/>
    <n v="65"/>
    <n v="12584.9"/>
    <n v="3.2224447592529271"/>
    <n v="6.3592218292066702"/>
    <n v="193.61384615384614"/>
    <n v="1.0676628340312597"/>
    <s v="🟢 High"/>
  </r>
  <r>
    <n v="988"/>
    <s v="Fa_Messenger_2023"/>
    <x v="2"/>
    <s v="Lead Generation"/>
    <s v="West"/>
    <s v="Desktop"/>
    <s v="25-34"/>
    <x v="11"/>
    <x v="2"/>
    <n v="2023"/>
    <n v="6375.01"/>
    <n v="89279"/>
    <n v="1357"/>
    <n v="69"/>
    <n v="6121.67"/>
    <n v="1.5199543005634024"/>
    <n v="4.5111790714812088"/>
    <n v="88.719855072463773"/>
    <n v="1.0413841321077419"/>
    <s v="🟡 Mid"/>
  </r>
  <r>
    <n v="989"/>
    <s v="Fa_Feed_Video_2023"/>
    <x v="2"/>
    <s v="Lead Generation"/>
    <s v="South"/>
    <s v="Tablet"/>
    <s v="55+"/>
    <x v="2"/>
    <x v="2"/>
    <n v="2023"/>
    <n v="9808.2099999999991"/>
    <n v="366456"/>
    <n v="7736"/>
    <n v="492"/>
    <n v="6760.28"/>
    <n v="2.1110310651210513"/>
    <n v="0.8738728024819028"/>
    <n v="13.74040650406504"/>
    <n v="1.4508585443206494"/>
    <s v="🟡 Mid"/>
  </r>
  <r>
    <n v="990"/>
    <s v="Fa_Messenger_2024"/>
    <x v="2"/>
    <s v="Retargeting"/>
    <s v="South"/>
    <s v="Desktop"/>
    <s v="45-54"/>
    <x v="0"/>
    <x v="0"/>
    <n v="2024"/>
    <n v="15379.36"/>
    <n v="145012"/>
    <n v="2858"/>
    <n v="262"/>
    <n v="11340.54"/>
    <n v="1.9708713761619729"/>
    <n v="3.9679986004198744"/>
    <n v="43.284503816793894"/>
    <n v="1.3561400074423264"/>
    <s v="🟡 Mid"/>
  </r>
  <r>
    <n v="991"/>
    <s v="Fa_Messenger_2024"/>
    <x v="2"/>
    <s v="Traffic"/>
    <s v="West"/>
    <s v="Tablet"/>
    <s v="18-24"/>
    <x v="2"/>
    <x v="2"/>
    <n v="2024"/>
    <n v="13562.6"/>
    <n v="619915"/>
    <n v="16280"/>
    <n v="249"/>
    <n v="9477.09"/>
    <n v="2.6261664905672553"/>
    <n v="0.58213083538083543"/>
    <n v="38.060602409638555"/>
    <n v="1.4310932997365224"/>
    <s v="🟡 Mid"/>
  </r>
  <r>
    <n v="992"/>
    <s v="Fa_Lead_Form_2023"/>
    <x v="2"/>
    <s v="Traffic"/>
    <s v="North"/>
    <s v="Tablet"/>
    <s v="55+"/>
    <x v="1"/>
    <x v="1"/>
    <n v="2023"/>
    <n v="13088.76"/>
    <n v="149787"/>
    <n v="2658"/>
    <n v="66"/>
    <n v="8096.5"/>
    <n v="1.7745198181417614"/>
    <n v="3.0460872836719339"/>
    <n v="122.67424242424242"/>
    <n v="1.61659482492435"/>
    <s v="🟡 Mid"/>
  </r>
  <r>
    <n v="993"/>
    <s v="Fa_Messenger_2023"/>
    <x v="2"/>
    <s v="Brand Awareness"/>
    <s v="East"/>
    <s v="Mobile"/>
    <s v="25-34"/>
    <x v="1"/>
    <x v="1"/>
    <n v="2023"/>
    <n v="6056.8"/>
    <n v="410605"/>
    <n v="5506"/>
    <n v="49"/>
    <n v="6063.51"/>
    <n v="1.3409481131501078"/>
    <n v="1.1012549945513985"/>
    <n v="123.74510204081633"/>
    <n v="0.99889338023685947"/>
    <s v="🔴 Low"/>
  </r>
  <r>
    <n v="994"/>
    <s v="Go_Shopping_2024"/>
    <x v="1"/>
    <s v="Retargeting"/>
    <s v="Central"/>
    <s v="Desktop"/>
    <s v="45-54"/>
    <x v="7"/>
    <x v="0"/>
    <n v="2024"/>
    <n v="13878.28"/>
    <n v="111330"/>
    <n v="2548"/>
    <n v="286"/>
    <n v="10684.59"/>
    <n v="2.2886912781819815"/>
    <n v="4.1933241758241762"/>
    <n v="37.358706293706291"/>
    <n v="1.2989061817065513"/>
    <s v="🟡 Mid"/>
  </r>
  <r>
    <n v="995"/>
    <s v="Go_Shopping_2024"/>
    <x v="1"/>
    <s v="Conversions"/>
    <s v="South"/>
    <s v="Tablet"/>
    <s v="55+"/>
    <x v="1"/>
    <x v="1"/>
    <n v="2024"/>
    <n v="725.98"/>
    <n v="690577"/>
    <n v="22725"/>
    <n v="2363"/>
    <n v="527.96"/>
    <n v="3.2907264504899523"/>
    <n v="2.3232563256325636E-2"/>
    <n v="0.2234278459585273"/>
    <n v="1.3750662929009774"/>
    <s v="🟢 High"/>
  </r>
  <r>
    <n v="996"/>
    <s v="Fa_Feed_Video_2024"/>
    <x v="2"/>
    <s v="Traffic"/>
    <s v="West"/>
    <s v="Tablet"/>
    <s v="35-44"/>
    <x v="4"/>
    <x v="1"/>
    <n v="2024"/>
    <n v="16961.28"/>
    <n v="387585"/>
    <n v="5711"/>
    <n v="76"/>
    <n v="11450.77"/>
    <n v="1.4734832359353431"/>
    <n v="2.005037646646822"/>
    <n v="150.66802631578949"/>
    <n v="1.4812348863875529"/>
    <s v="🔴 Low"/>
  </r>
  <r>
    <n v="997"/>
    <s v="Fa_Messenger_2024"/>
    <x v="2"/>
    <s v="Brand Awareness"/>
    <s v="South"/>
    <s v="Desktop"/>
    <s v="35-44"/>
    <x v="6"/>
    <x v="3"/>
    <n v="2024"/>
    <n v="4353.45"/>
    <n v="649371"/>
    <n v="9888"/>
    <n v="56"/>
    <n v="3127.17"/>
    <n v="1.5227042784479135"/>
    <n v="0.31625910194174756"/>
    <n v="55.842321428571431"/>
    <n v="1.3921372998589778"/>
    <s v="🟡 Mid"/>
  </r>
  <r>
    <n v="998"/>
    <s v="Go_Discovery_2024"/>
    <x v="1"/>
    <s v="Retargeting"/>
    <s v="East"/>
    <s v="Desktop"/>
    <s v="55+"/>
    <x v="3"/>
    <x v="3"/>
    <n v="2024"/>
    <n v="5420.37"/>
    <n v="358854"/>
    <n v="8090"/>
    <n v="922"/>
    <n v="4997.96"/>
    <n v="2.2543987248295965"/>
    <n v="0.61779480840543877"/>
    <n v="5.4207809110629066"/>
    <n v="1.0845164827249518"/>
    <s v="🟡 Mid"/>
  </r>
  <r>
    <n v="999"/>
    <s v="Go_YouTube_PreRoll_2024"/>
    <x v="1"/>
    <s v="Lead Generation"/>
    <s v="East"/>
    <s v="Mobile"/>
    <s v="45-54"/>
    <x v="8"/>
    <x v="0"/>
    <n v="2024"/>
    <n v="6830.33"/>
    <n v="671876"/>
    <n v="20406"/>
    <n v="1712"/>
    <n v="5622.27"/>
    <n v="3.0371675725877991"/>
    <n v="0.27552043516612762"/>
    <n v="3.2840362149532711"/>
    <n v="1.214870506041154"/>
    <s v="🟢 High"/>
  </r>
  <r>
    <n v="1000"/>
    <s v="Fa_Reels_2023"/>
    <x v="2"/>
    <s v="Lead Generation"/>
    <s v="North"/>
    <s v="Tablet"/>
    <s v="18-24"/>
    <x v="0"/>
    <x v="0"/>
    <n v="2023"/>
    <n v="12841.94"/>
    <n v="457041"/>
    <n v="7559"/>
    <n v="707"/>
    <n v="9568.0400000000009"/>
    <n v="1.6538997595401723"/>
    <n v="1.2657811879878291"/>
    <n v="13.533295615275815"/>
    <n v="1.3421703922642463"/>
    <s v="🟡 M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CFF23E-F5C3-4186-BD2D-600E5B4F67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8:Y12" firstHeaderRow="1" firstDataRow="1" firstDataCol="1"/>
  <pivotFields count="20">
    <pivotField numFmtId="1" showAll="0"/>
    <pivotField showAll="0"/>
    <pivotField axis="axisRow" showAll="0" sortType="descending">
      <items count="4">
        <item x="1"/>
        <item x="2"/>
        <item x="0"/>
        <item t="default"/>
      </items>
    </pivotField>
    <pivotField showAll="0"/>
    <pivotField showAll="0"/>
    <pivotField showAll="0"/>
    <pivotField showAll="0"/>
    <pivotField showAll="0"/>
    <pivotField showAll="0">
      <items count="5">
        <item x="0"/>
        <item x="2"/>
        <item x="1"/>
        <item x="3"/>
        <item t="default"/>
      </items>
    </pivotField>
    <pivotField numFmtId="1" showAll="0"/>
    <pivotField numFmtId="2" showAll="0"/>
    <pivotField numFmtId="2" showAll="0"/>
    <pivotField numFmtId="2" showAll="0"/>
    <pivotField numFmtId="2" showAll="0"/>
    <pivotField numFmtId="2" showAll="0"/>
    <pivotField dataField="1" numFmtId="2" showAll="0"/>
    <pivotField numFmtId="2" showAll="0"/>
    <pivotField showAll="0"/>
    <pivotField numFmtId="2" showAll="0"/>
    <pivotField showAll="0"/>
  </pivotFields>
  <rowFields count="1">
    <field x="2"/>
  </rowFields>
  <rowItems count="4">
    <i>
      <x/>
    </i>
    <i>
      <x v="1"/>
    </i>
    <i>
      <x v="2"/>
    </i>
    <i t="grand">
      <x/>
    </i>
  </rowItems>
  <colItems count="1">
    <i/>
  </colItems>
  <dataFields count="1">
    <dataField name="Average of CTR (%)" fld="15" subtotal="average" baseField="2" baseItem="0" numFmtId="2"/>
  </dataFields>
  <formats count="5">
    <format dxfId="4">
      <pivotArea field="2" type="button" dataOnly="0" labelOnly="1" outline="0" axis="axisRow" fieldPosition="0"/>
    </format>
    <format dxfId="3">
      <pivotArea dataOnly="0" labelOnly="1" outline="0" axis="axisValues" fieldPosition="0"/>
    </format>
    <format dxfId="2">
      <pivotArea dataOnly="0" grandRow="1" axis="axisRow" fieldPosition="0"/>
    </format>
    <format dxfId="1">
      <pivotArea collapsedLevelsAreSubtotals="1" fieldPosition="0">
        <references count="1">
          <reference field="2" count="0"/>
        </references>
      </pivotArea>
    </format>
    <format dxfId="0">
      <pivotArea dataOnly="0" labelOnly="1" fieldPosition="0">
        <references count="1">
          <reference field="2" count="0"/>
        </references>
      </pivotArea>
    </format>
  </formats>
  <chartFormats count="4">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5"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E688B3-F4EB-4075-AA8E-4A1AACAEE6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U3:V7" firstHeaderRow="1" firstDataRow="1" firstDataCol="1"/>
  <pivotFields count="20">
    <pivotField numFmtId="1" showAll="0"/>
    <pivotField showAll="0"/>
    <pivotField axis="axisRow" showAll="0" sortType="descending">
      <items count="4">
        <item x="1"/>
        <item x="2"/>
        <item x="0"/>
        <item t="default"/>
      </items>
    </pivotField>
    <pivotField showAll="0"/>
    <pivotField showAll="0"/>
    <pivotField showAll="0"/>
    <pivotField showAll="0"/>
    <pivotField showAll="0"/>
    <pivotField showAll="0">
      <items count="5">
        <item x="0"/>
        <item x="2"/>
        <item x="1"/>
        <item x="3"/>
        <item t="default"/>
      </items>
    </pivotField>
    <pivotField numFmtId="1" showAll="0"/>
    <pivotField numFmtId="2" showAll="0"/>
    <pivotField numFmtId="2" showAll="0"/>
    <pivotField numFmtId="2" showAll="0"/>
    <pivotField numFmtId="2" showAll="0"/>
    <pivotField dataField="1" numFmtId="2" showAll="0"/>
    <pivotField numFmtId="2" showAll="0"/>
    <pivotField numFmtId="2" showAll="0"/>
    <pivotField showAll="0"/>
    <pivotField numFmtId="2" showAll="0"/>
    <pivotField showAll="0"/>
  </pivotFields>
  <rowFields count="1">
    <field x="2"/>
  </rowFields>
  <rowItems count="4">
    <i>
      <x/>
    </i>
    <i>
      <x v="1"/>
    </i>
    <i>
      <x v="2"/>
    </i>
    <i t="grand">
      <x/>
    </i>
  </rowItems>
  <colItems count="1">
    <i/>
  </colItems>
  <dataFields count="1">
    <dataField name="Sum of Spend ($)" fld="14" baseField="0" baseItem="0" numFmtId="2"/>
  </dataFields>
  <formats count="4">
    <format dxfId="8">
      <pivotArea field="2" type="button" dataOnly="0" labelOnly="1" outline="0" axis="axisRow" fieldPosition="0"/>
    </format>
    <format dxfId="7">
      <pivotArea dataOnly="0" labelOnly="1" outline="0" axis="axisValues" fieldPosition="0"/>
    </format>
    <format dxfId="6">
      <pivotArea dataOnly="0" grandRow="1" axis="axisRow" fieldPosition="0"/>
    </format>
    <format dxfId="5">
      <pivotArea dataOnly="0" fieldPosition="0">
        <references count="1">
          <reference field="2" count="0"/>
        </references>
      </pivotArea>
    </format>
  </formats>
  <chartFormats count="6">
    <chartFormat chart="12" format="1" series="1">
      <pivotArea type="data" outline="0" fieldPosition="0">
        <references count="1">
          <reference field="4294967294" count="1" selected="0">
            <x v="0"/>
          </reference>
        </references>
      </pivotArea>
    </chartFormat>
    <chartFormat chart="10" format="21"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0"/>
          </reference>
        </references>
      </pivotArea>
    </chartFormat>
    <chartFormat chart="16" format="8">
      <pivotArea type="data" outline="0" fieldPosition="0">
        <references count="2">
          <reference field="4294967294" count="1" selected="0">
            <x v="0"/>
          </reference>
          <reference field="2" count="1" selected="0">
            <x v="1"/>
          </reference>
        </references>
      </pivotArea>
    </chartFormat>
    <chartFormat chart="16"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A073AE-3AA8-414B-B845-AED4DB4B35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3:R7" firstHeaderRow="0" firstDataRow="1" firstDataCol="1"/>
  <pivotFields count="20">
    <pivotField numFmtId="1" showAll="0"/>
    <pivotField showAll="0"/>
    <pivotField axis="axisRow" showAll="0" sortType="descending">
      <items count="4">
        <item x="1"/>
        <item x="2"/>
        <item x="0"/>
        <item t="default"/>
      </items>
    </pivotField>
    <pivotField showAll="0"/>
    <pivotField showAll="0"/>
    <pivotField showAll="0"/>
    <pivotField showAll="0"/>
    <pivotField showAll="0"/>
    <pivotField showAll="0">
      <items count="5">
        <item x="0"/>
        <item x="2"/>
        <item x="1"/>
        <item x="3"/>
        <item t="default"/>
      </items>
    </pivotField>
    <pivotField numFmtId="1" showAll="0"/>
    <pivotField numFmtId="2" showAll="0"/>
    <pivotField numFmtId="2" showAll="0"/>
    <pivotField numFmtId="2" showAll="0"/>
    <pivotField numFmtId="2" showAll="0"/>
    <pivotField numFmtId="2" showAll="0"/>
    <pivotField numFmtId="2" showAll="0"/>
    <pivotField dataField="1" numFmtId="2" showAll="0"/>
    <pivotField dataField="1" showAll="0"/>
    <pivotField numFmtId="2" showAll="0"/>
    <pivotField showAll="0"/>
  </pivotFields>
  <rowFields count="1">
    <field x="2"/>
  </rowFields>
  <rowItems count="4">
    <i>
      <x/>
    </i>
    <i>
      <x v="1"/>
    </i>
    <i>
      <x v="2"/>
    </i>
    <i t="grand">
      <x/>
    </i>
  </rowItems>
  <colFields count="1">
    <field x="-2"/>
  </colFields>
  <colItems count="2">
    <i>
      <x/>
    </i>
    <i i="1">
      <x v="1"/>
    </i>
  </colItems>
  <dataFields count="2">
    <dataField name="Average of CPC ($)" fld="16" subtotal="average" baseField="2" baseItem="0" numFmtId="2"/>
    <dataField name="Average of CPA ($)" fld="17" subtotal="average" baseField="2" baseItem="0"/>
  </dataFields>
  <formats count="4">
    <format dxfId="12">
      <pivotArea dataOnly="0" fieldPosition="0">
        <references count="1">
          <reference field="2" count="0"/>
        </references>
      </pivotArea>
    </format>
    <format dxfId="11">
      <pivotArea field="2" type="button" dataOnly="0" labelOnly="1" outline="0" axis="axisRow" fieldPosition="0"/>
    </format>
    <format dxfId="10">
      <pivotArea dataOnly="0" labelOnly="1" outline="0" fieldPosition="0">
        <references count="1">
          <reference field="4294967294" count="2">
            <x v="0"/>
            <x v="1"/>
          </reference>
        </references>
      </pivotArea>
    </format>
    <format dxfId="9">
      <pivotArea dataOnly="0" grandRow="1" axis="axisRow" fieldPosition="0"/>
    </format>
  </formats>
  <chartFormats count="1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0"/>
          </reference>
        </references>
      </pivotArea>
    </chartFormat>
    <chartFormat chart="12" format="4">
      <pivotArea type="data" outline="0" fieldPosition="0">
        <references count="2">
          <reference field="4294967294" count="1" selected="0">
            <x v="0"/>
          </reference>
          <reference field="2" count="1" selected="0">
            <x v="1"/>
          </reference>
        </references>
      </pivotArea>
    </chartFormat>
    <chartFormat chart="12" format="5">
      <pivotArea type="data" outline="0" fieldPosition="0">
        <references count="2">
          <reference field="4294967294" count="1" selected="0">
            <x v="0"/>
          </reference>
          <reference field="2" count="1" selected="0">
            <x v="2"/>
          </reference>
        </references>
      </pivotArea>
    </chartFormat>
    <chartFormat chart="12" format="6" series="1">
      <pivotArea type="data" outline="0" fieldPosition="0">
        <references count="1">
          <reference field="4294967294" count="1" selected="0">
            <x v="1"/>
          </reference>
        </references>
      </pivotArea>
    </chartFormat>
    <chartFormat chart="12" format="7">
      <pivotArea type="data" outline="0" fieldPosition="0">
        <references count="2">
          <reference field="4294967294" count="1" selected="0">
            <x v="1"/>
          </reference>
          <reference field="2" count="1" selected="0">
            <x v="0"/>
          </reference>
        </references>
      </pivotArea>
    </chartFormat>
    <chartFormat chart="12" format="8">
      <pivotArea type="data" outline="0" fieldPosition="0">
        <references count="2">
          <reference field="4294967294" count="1" selected="0">
            <x v="1"/>
          </reference>
          <reference field="2" count="1" selected="0">
            <x v="1"/>
          </reference>
        </references>
      </pivotArea>
    </chartFormat>
    <chartFormat chart="12" format="9">
      <pivotArea type="data" outline="0" fieldPosition="0">
        <references count="2">
          <reference field="4294967294" count="1" selected="0">
            <x v="1"/>
          </reference>
          <reference field="2"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pivotArea type="data" outline="0" fieldPosition="0">
        <references count="2">
          <reference field="4294967294" count="1" selected="0">
            <x v="1"/>
          </reference>
          <reference field="2" count="1" selected="0">
            <x v="2"/>
          </reference>
        </references>
      </pivotArea>
    </chartFormat>
    <chartFormat chart="16" format="11">
      <pivotArea type="data" outline="0" fieldPosition="0">
        <references count="2">
          <reference field="4294967294" count="1" selected="0">
            <x v="1"/>
          </reference>
          <reference field="2" count="1" selected="0">
            <x v="1"/>
          </reference>
        </references>
      </pivotArea>
    </chartFormat>
    <chartFormat chart="16" format="12">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2320A1-CE52-45A2-9B8B-3A9B52BA701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M3:N15" firstHeaderRow="1" firstDataRow="1" firstDataCol="1"/>
  <pivotFields count="20">
    <pivotField numFmtId="1" showAll="0"/>
    <pivotField showAll="0"/>
    <pivotField showAll="0">
      <items count="4">
        <item x="0"/>
        <item x="2"/>
        <item x="1"/>
        <item t="default"/>
      </items>
    </pivotField>
    <pivotField showAll="0"/>
    <pivotField showAll="0"/>
    <pivotField showAll="0"/>
    <pivotField showAll="0"/>
    <pivotField axis="axisRow" showAll="0">
      <items count="13">
        <item x="8"/>
        <item x="7"/>
        <item x="0"/>
        <item x="11"/>
        <item x="5"/>
        <item x="2"/>
        <item x="1"/>
        <item x="4"/>
        <item x="10"/>
        <item x="9"/>
        <item x="3"/>
        <item x="6"/>
        <item t="default"/>
      </items>
    </pivotField>
    <pivotField showAll="0">
      <items count="5">
        <item x="0"/>
        <item x="2"/>
        <item x="1"/>
        <item x="3"/>
        <item t="default"/>
      </items>
    </pivotField>
    <pivotField numFmtId="1" showAll="0"/>
    <pivotField numFmtId="2" showAll="0"/>
    <pivotField numFmtId="2" showAll="0"/>
    <pivotField numFmtId="2" showAll="0"/>
    <pivotField numFmtId="2" showAll="0"/>
    <pivotField dataField="1" numFmtId="2" showAll="0"/>
    <pivotField numFmtId="2" showAll="0"/>
    <pivotField numFmtId="2" showAll="0"/>
    <pivotField showAll="0"/>
    <pivotField numFmtId="2" showAll="0"/>
    <pivotField showAll="0"/>
  </pivotFields>
  <rowFields count="1">
    <field x="7"/>
  </rowFields>
  <rowItems count="12">
    <i>
      <x/>
    </i>
    <i>
      <x v="1"/>
    </i>
    <i>
      <x v="2"/>
    </i>
    <i>
      <x v="3"/>
    </i>
    <i>
      <x v="4"/>
    </i>
    <i>
      <x v="5"/>
    </i>
    <i>
      <x v="6"/>
    </i>
    <i>
      <x v="7"/>
    </i>
    <i>
      <x v="8"/>
    </i>
    <i>
      <x v="9"/>
    </i>
    <i>
      <x v="10"/>
    </i>
    <i>
      <x v="11"/>
    </i>
  </rowItems>
  <colItems count="1">
    <i/>
  </colItems>
  <dataFields count="1">
    <dataField name="Monthly Spend ($)" fld="14" baseField="7" baseItem="0" numFmtId="44"/>
  </dataFields>
  <formats count="10">
    <format dxfId="22">
      <pivotArea type="all" dataOnly="0" outline="0"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grandRow="1" outline="0" fieldPosition="0"/>
    </format>
    <format dxfId="18">
      <pivotArea dataOnly="0" labelOnly="1" outline="0" axis="axisValues" fieldPosition="0"/>
    </format>
    <format dxfId="17">
      <pivotArea field="7" type="button" dataOnly="0" labelOnly="1" outline="0" axis="axisRow" fieldPosition="0"/>
    </format>
    <format dxfId="16">
      <pivotArea dataOnly="0" labelOnly="1" outline="0" axis="axisValues" fieldPosition="0"/>
    </format>
    <format dxfId="15">
      <pivotArea dataOnly="0" grandRow="1" axis="axisRow" fieldPosition="0"/>
    </format>
    <format dxfId="14">
      <pivotArea outline="0" collapsedLevelsAreSubtotals="1" fieldPosition="0"/>
    </format>
    <format dxfId="13">
      <pivotArea outline="0" collapsedLevelsAreSubtotals="1" fieldPosition="0"/>
    </format>
  </formats>
  <chartFormats count="10">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5"/>
          </reference>
        </references>
      </pivotArea>
    </chartFormat>
    <chartFormat chart="7" format="7">
      <pivotArea type="data" outline="0" fieldPosition="0">
        <references count="2">
          <reference field="4294967294" count="1" selected="0">
            <x v="0"/>
          </reference>
          <reference field="7" count="1" selected="0">
            <x v="4"/>
          </reference>
        </references>
      </pivotArea>
    </chartFormat>
    <chartFormat chart="7" format="8">
      <pivotArea type="data" outline="0" fieldPosition="0">
        <references count="2">
          <reference field="4294967294" count="1" selected="0">
            <x v="0"/>
          </reference>
          <reference field="7" count="1" selected="0">
            <x v="3"/>
          </reference>
        </references>
      </pivotArea>
    </chartFormat>
    <chartFormat chart="7" format="9">
      <pivotArea type="data" outline="0" fieldPosition="0">
        <references count="2">
          <reference field="4294967294" count="1" selected="0">
            <x v="0"/>
          </reference>
          <reference field="7" count="1" selected="0">
            <x v="2"/>
          </reference>
        </references>
      </pivotArea>
    </chartFormat>
    <chartFormat chart="7" format="10">
      <pivotArea type="data" outline="0" fieldPosition="0">
        <references count="2">
          <reference field="4294967294" count="1" selected="0">
            <x v="0"/>
          </reference>
          <reference field="7" count="1" selected="0">
            <x v="7"/>
          </reference>
        </references>
      </pivotArea>
    </chartFormat>
    <chartFormat chart="7" format="11">
      <pivotArea type="data" outline="0" fieldPosition="0">
        <references count="2">
          <reference field="4294967294" count="1" selected="0">
            <x v="0"/>
          </reference>
          <reference field="7" count="1" selected="0">
            <x v="9"/>
          </reference>
        </references>
      </pivotArea>
    </chartFormat>
    <chartFormat chart="7" format="12">
      <pivotArea type="data" outline="0" fieldPosition="0">
        <references count="2">
          <reference field="4294967294" count="1" selected="0">
            <x v="0"/>
          </reference>
          <reference field="7" count="1" selected="0">
            <x v="11"/>
          </reference>
        </references>
      </pivotArea>
    </chartFormat>
    <chartFormat chart="7" format="13">
      <pivotArea type="data" outline="0" fieldPosition="0">
        <references count="2">
          <reference field="4294967294" count="1" selected="0">
            <x v="0"/>
          </reference>
          <reference field="7" count="1" selected="0">
            <x v="0"/>
          </reference>
        </references>
      </pivotArea>
    </chartFormat>
    <chartFormat chart="7" format="14">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AF191A-DFF0-4439-97AA-F44A73376C8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7" firstHeaderRow="0" firstDataRow="1" firstDataCol="1"/>
  <pivotFields count="20">
    <pivotField numFmtId="1" showAll="0"/>
    <pivotField showAll="0"/>
    <pivotField axis="axisRow" showAll="0">
      <items count="4">
        <item x="0"/>
        <item x="2"/>
        <item x="1"/>
        <item t="default"/>
      </items>
    </pivotField>
    <pivotField showAll="0"/>
    <pivotField showAll="0"/>
    <pivotField showAll="0"/>
    <pivotField showAll="0"/>
    <pivotField showAll="0"/>
    <pivotField showAll="0">
      <items count="5">
        <item x="0"/>
        <item x="2"/>
        <item x="1"/>
        <item x="3"/>
        <item t="default"/>
      </items>
    </pivotField>
    <pivotField numFmtId="1" showAll="0"/>
    <pivotField dataField="1" numFmtId="2" showAll="0"/>
    <pivotField dataField="1" numFmtId="2" showAll="0"/>
    <pivotField dataField="1" numFmtId="2" showAll="0"/>
    <pivotField dataField="1" numFmtId="2" showAll="0"/>
    <pivotField dataField="1" numFmtId="2" showAll="0"/>
    <pivotField dataField="1" numFmtId="2" showAll="0"/>
    <pivotField dataField="1" numFmtId="2" showAll="0"/>
    <pivotField dataField="1" showAll="0"/>
    <pivotField dataField="1" numFmtId="2" showAll="0"/>
    <pivotField showAll="0"/>
  </pivotFields>
  <rowFields count="1">
    <field x="2"/>
  </rowFields>
  <rowItems count="4">
    <i>
      <x/>
    </i>
    <i>
      <x v="1"/>
    </i>
    <i>
      <x v="2"/>
    </i>
    <i t="grand">
      <x/>
    </i>
  </rowItems>
  <colFields count="1">
    <field x="-2"/>
  </colFields>
  <colItems count="9">
    <i>
      <x/>
    </i>
    <i i="1">
      <x v="1"/>
    </i>
    <i i="2">
      <x v="2"/>
    </i>
    <i i="3">
      <x v="3"/>
    </i>
    <i i="4">
      <x v="4"/>
    </i>
    <i i="5">
      <x v="5"/>
    </i>
    <i i="6">
      <x v="6"/>
    </i>
    <i i="7">
      <x v="7"/>
    </i>
    <i i="8">
      <x v="8"/>
    </i>
  </colItems>
  <dataFields count="9">
    <dataField name="Total Budget" fld="10" baseField="0" baseItem="0" numFmtId="44"/>
    <dataField name="Total Spend" fld="14" baseField="2" baseItem="0" numFmtId="42"/>
    <dataField name="Total Impression" fld="11" baseField="2" baseItem="0" numFmtId="43"/>
    <dataField name="Total Clicks" fld="12" baseField="2" baseItem="0" numFmtId="43"/>
    <dataField name="Total Conversions" fld="13" baseField="2" baseItem="0" numFmtId="43"/>
    <dataField name="Average of CTR (%)" fld="15" subtotal="average" baseField="2" baseItem="0" numFmtId="2"/>
    <dataField name="Average of CPC ($)" fld="16" subtotal="average" baseField="2" baseItem="0" numFmtId="5"/>
    <dataField name="Average of CPA ($)" fld="17" subtotal="average" baseField="2" baseItem="0" numFmtId="5"/>
    <dataField name="Average of ROAS" fld="18" subtotal="average" baseField="2" baseItem="0" numFmtId="2"/>
  </dataFields>
  <formats count="38">
    <format dxfId="60">
      <pivotArea outline="0" collapsedLevelsAreSubtotals="1" fieldPosition="0">
        <references count="1">
          <reference field="4294967294" count="2" selected="0">
            <x v="0"/>
            <x v="1"/>
          </reference>
        </references>
      </pivotArea>
    </format>
    <format dxfId="59">
      <pivotArea dataOnly="0" labelOnly="1" outline="0" fieldPosition="0">
        <references count="1">
          <reference field="4294967294" count="2">
            <x v="0"/>
            <x v="1"/>
          </reference>
        </references>
      </pivotArea>
    </format>
    <format dxfId="58">
      <pivotArea outline="0" collapsedLevelsAreSubtotals="1" fieldPosition="0">
        <references count="1">
          <reference field="4294967294" count="2" selected="0">
            <x v="6"/>
            <x v="7"/>
          </reference>
        </references>
      </pivotArea>
    </format>
    <format dxfId="57">
      <pivotArea dataOnly="0" labelOnly="1" outline="0" fieldPosition="0">
        <references count="1">
          <reference field="4294967294" count="2">
            <x v="6"/>
            <x v="7"/>
          </reference>
        </references>
      </pivotArea>
    </format>
    <format dxfId="56">
      <pivotArea collapsedLevelsAreSubtotals="1" fieldPosition="0">
        <references count="2">
          <reference field="4294967294" count="1" selected="0">
            <x v="6"/>
          </reference>
          <reference field="2" count="1">
            <x v="0"/>
          </reference>
        </references>
      </pivotArea>
    </format>
    <format dxfId="55">
      <pivotArea collapsedLevelsAreSubtotals="1" fieldPosition="0">
        <references count="2">
          <reference field="4294967294" count="1" selected="0">
            <x v="6"/>
          </reference>
          <reference field="2" count="1">
            <x v="0"/>
          </reference>
        </references>
      </pivotArea>
    </format>
    <format dxfId="54">
      <pivotArea collapsedLevelsAreSubtotals="1" fieldPosition="0">
        <references count="2">
          <reference field="4294967294" count="1" selected="0">
            <x v="6"/>
          </reference>
          <reference field="2" count="1">
            <x v="0"/>
          </reference>
        </references>
      </pivotArea>
    </format>
    <format dxfId="53">
      <pivotArea collapsedLevelsAreSubtotals="1" fieldPosition="0">
        <references count="2">
          <reference field="4294967294" count="1" selected="0">
            <x v="6"/>
          </reference>
          <reference field="2" count="1">
            <x v="0"/>
          </reference>
        </references>
      </pivotArea>
    </format>
    <format dxfId="52">
      <pivotArea collapsedLevelsAreSubtotals="1" fieldPosition="0">
        <references count="2">
          <reference field="4294967294" count="1" selected="0">
            <x v="6"/>
          </reference>
          <reference field="2" count="1">
            <x v="0"/>
          </reference>
        </references>
      </pivotArea>
    </format>
    <format dxfId="51">
      <pivotArea collapsedLevelsAreSubtotals="1" fieldPosition="0">
        <references count="2">
          <reference field="4294967294" count="1" selected="0">
            <x v="6"/>
          </reference>
          <reference field="2" count="1">
            <x v="0"/>
          </reference>
        </references>
      </pivotArea>
    </format>
    <format dxfId="50">
      <pivotArea collapsedLevelsAreSubtotals="1" fieldPosition="0">
        <references count="2">
          <reference field="4294967294" count="1" selected="0">
            <x v="6"/>
          </reference>
          <reference field="2" count="1">
            <x v="0"/>
          </reference>
        </references>
      </pivotArea>
    </format>
    <format dxfId="49">
      <pivotArea collapsedLevelsAreSubtotals="1" fieldPosition="0">
        <references count="2">
          <reference field="4294967294" count="1" selected="0">
            <x v="6"/>
          </reference>
          <reference field="2" count="1">
            <x v="0"/>
          </reference>
        </references>
      </pivotArea>
    </format>
    <format dxfId="48">
      <pivotArea collapsedLevelsAreSubtotals="1" fieldPosition="0">
        <references count="2">
          <reference field="4294967294" count="1" selected="0">
            <x v="6"/>
          </reference>
          <reference field="2" count="1">
            <x v="0"/>
          </reference>
        </references>
      </pivotArea>
    </format>
    <format dxfId="47">
      <pivotArea collapsedLevelsAreSubtotals="1" fieldPosition="0">
        <references count="2">
          <reference field="4294967294" count="1" selected="0">
            <x v="6"/>
          </reference>
          <reference field="2" count="1">
            <x v="0"/>
          </reference>
        </references>
      </pivotArea>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fieldPosition="0">
        <references count="1">
          <reference field="4294967294" count="9">
            <x v="0"/>
            <x v="1"/>
            <x v="2"/>
            <x v="3"/>
            <x v="4"/>
            <x v="5"/>
            <x v="6"/>
            <x v="7"/>
            <x v="8"/>
          </reference>
        </references>
      </pivotArea>
    </format>
    <format dxfId="40">
      <pivotArea type="all" dataOnly="0" outline="0" fieldPosition="0"/>
    </format>
    <format dxfId="39">
      <pivotArea outline="0" collapsedLevelsAreSubtotals="1"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outline="0" fieldPosition="0">
        <references count="1">
          <reference field="4294967294" count="9">
            <x v="0"/>
            <x v="1"/>
            <x v="2"/>
            <x v="3"/>
            <x v="4"/>
            <x v="5"/>
            <x v="6"/>
            <x v="7"/>
            <x v="8"/>
          </reference>
        </references>
      </pivotArea>
    </format>
    <format dxfId="34">
      <pivotArea field="2" type="button" dataOnly="0" labelOnly="1" outline="0" axis="axisRow" fieldPosition="0"/>
    </format>
    <format dxfId="33">
      <pivotArea dataOnly="0" labelOnly="1" outline="0" fieldPosition="0">
        <references count="1">
          <reference field="4294967294" count="9">
            <x v="0"/>
            <x v="1"/>
            <x v="2"/>
            <x v="3"/>
            <x v="4"/>
            <x v="5"/>
            <x v="6"/>
            <x v="7"/>
            <x v="8"/>
          </reference>
        </references>
      </pivotArea>
    </format>
    <format dxfId="32">
      <pivotArea grandRow="1" outline="0" collapsedLevelsAreSubtotals="1" fieldPosition="0"/>
    </format>
    <format dxfId="31">
      <pivotArea dataOnly="0" labelOnly="1" grandRow="1" outline="0" fieldPosition="0"/>
    </format>
    <format dxfId="30">
      <pivotArea collapsedLevelsAreSubtotals="1" fieldPosition="0">
        <references count="2">
          <reference field="4294967294" count="1" selected="0">
            <x v="6"/>
          </reference>
          <reference field="2" count="1">
            <x v="0"/>
          </reference>
        </references>
      </pivotArea>
    </format>
    <format dxfId="29">
      <pivotArea collapsedLevelsAreSubtotals="1" fieldPosition="0">
        <references count="2">
          <reference field="4294967294" count="1" selected="0">
            <x v="6"/>
          </reference>
          <reference field="2" count="2">
            <x v="1"/>
            <x v="2"/>
          </reference>
        </references>
      </pivotArea>
    </format>
    <format dxfId="28">
      <pivotArea outline="0" collapsedLevelsAreSubtotals="1" fieldPosition="0">
        <references count="1">
          <reference field="4294967294" count="2" selected="0">
            <x v="6"/>
            <x v="7"/>
          </reference>
        </references>
      </pivotArea>
    </format>
    <format dxfId="27">
      <pivotArea outline="0" collapsedLevelsAreSubtotals="1" fieldPosition="0">
        <references count="1">
          <reference field="4294967294" count="3" selected="0">
            <x v="2"/>
            <x v="3"/>
            <x v="4"/>
          </reference>
        </references>
      </pivotArea>
    </format>
    <format dxfId="26">
      <pivotArea field="2" grandRow="1" outline="0" collapsedLevelsAreSubtotals="1" axis="axisRow" fieldPosition="0">
        <references count="1">
          <reference field="4294967294" count="3" selected="0">
            <x v="2"/>
            <x v="3"/>
            <x v="4"/>
          </reference>
        </references>
      </pivotArea>
    </format>
    <format dxfId="25">
      <pivotArea collapsedLevelsAreSubtotals="1" fieldPosition="0">
        <references count="2">
          <reference field="4294967294" count="3" selected="0">
            <x v="2"/>
            <x v="3"/>
            <x v="4"/>
          </reference>
          <reference field="2" count="0"/>
        </references>
      </pivotArea>
    </format>
    <format dxfId="24">
      <pivotArea field="2" grandRow="1" outline="0" collapsedLevelsAreSubtotals="1" axis="axisRow" fieldPosition="0">
        <references count="1">
          <reference field="4294967294" count="3" selected="0">
            <x v="2"/>
            <x v="3"/>
            <x v="4"/>
          </reference>
        </references>
      </pivotArea>
    </format>
    <format dxfId="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2B0AD8-965F-4615-9E84-B0504610C2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8:AB12" firstHeaderRow="1" firstDataRow="1" firstDataCol="1"/>
  <pivotFields count="20">
    <pivotField numFmtId="1" showAll="0"/>
    <pivotField showAll="0"/>
    <pivotField axis="axisRow" showAll="0" sortType="descending">
      <items count="4">
        <item x="1"/>
        <item x="2"/>
        <item x="0"/>
        <item t="default"/>
      </items>
    </pivotField>
    <pivotField showAll="0"/>
    <pivotField showAll="0"/>
    <pivotField showAll="0"/>
    <pivotField showAll="0"/>
    <pivotField showAll="0"/>
    <pivotField showAll="0">
      <items count="5">
        <item x="0"/>
        <item x="2"/>
        <item x="1"/>
        <item x="3"/>
        <item t="default"/>
      </items>
    </pivotField>
    <pivotField numFmtId="1" showAll="0"/>
    <pivotField numFmtId="2" showAll="0"/>
    <pivotField numFmtId="2" showAll="0"/>
    <pivotField numFmtId="2" showAll="0"/>
    <pivotField dataField="1" numFmtId="2" showAll="0"/>
    <pivotField numFmtId="2" showAll="0"/>
    <pivotField numFmtId="2" showAll="0"/>
    <pivotField numFmtId="2" showAll="0"/>
    <pivotField showAll="0"/>
    <pivotField numFmtId="2" showAll="0"/>
    <pivotField showAll="0"/>
  </pivotFields>
  <rowFields count="1">
    <field x="2"/>
  </rowFields>
  <rowItems count="4">
    <i>
      <x/>
    </i>
    <i>
      <x v="1"/>
    </i>
    <i>
      <x v="2"/>
    </i>
    <i t="grand">
      <x/>
    </i>
  </rowItems>
  <colItems count="1">
    <i/>
  </colItems>
  <dataFields count="1">
    <dataField name="Sum of Conversions" fld="13" baseField="0" baseItem="0" numFmtId="2"/>
  </dataFields>
  <formats count="6">
    <format dxfId="66">
      <pivotArea field="2" type="button" dataOnly="0" labelOnly="1" outline="0" axis="axisRow" fieldPosition="0"/>
    </format>
    <format dxfId="65">
      <pivotArea dataOnly="0" labelOnly="1" outline="0" axis="axisValues" fieldPosition="0"/>
    </format>
    <format dxfId="64">
      <pivotArea grandRow="1" outline="0" collapsedLevelsAreSubtotals="1" fieldPosition="0"/>
    </format>
    <format dxfId="63">
      <pivotArea dataOnly="0" labelOnly="1" grandRow="1" outline="0" fieldPosition="0"/>
    </format>
    <format dxfId="62">
      <pivotArea collapsedLevelsAreSubtotals="1" fieldPosition="0">
        <references count="1">
          <reference field="2" count="0"/>
        </references>
      </pivotArea>
    </format>
    <format dxfId="61">
      <pivotArea dataOnly="0" labelOnly="1" fieldPosition="0">
        <references count="1">
          <reference field="2" count="0"/>
        </references>
      </pivotArea>
    </format>
  </formats>
  <chartFormats count="4">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2"/>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F544653-B222-4444-B9AC-EB21D3CD1FF8}" sourceName="Platform">
  <pivotTables>
    <pivotTable tabId="7" name="PivotTable3"/>
    <pivotTable tabId="7" name="PivotTable4"/>
    <pivotTable tabId="7" name="PivotTable5"/>
    <pivotTable tabId="7" name="PivotTable6"/>
    <pivotTable tabId="7" name="PivotTable7"/>
    <pivotTable tabId="7" name="PivotTable8"/>
  </pivotTables>
  <data>
    <tabular pivotCacheId="74023514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1FB16450-1ED7-4709-8F1A-6C6C1BC7D4B8}" sourceName="Quarter">
  <pivotTables>
    <pivotTable tabId="7" name="PivotTable8"/>
    <pivotTable tabId="7" name="PivotTable7"/>
    <pivotTable tabId="7" name="PivotTable6"/>
    <pivotTable tabId="7" name="PivotTable5"/>
    <pivotTable tabId="7" name="PivotTable4"/>
    <pivotTable tabId="7" name="PivotTable3"/>
  </pivotTables>
  <data>
    <tabular pivotCacheId="74023514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658E8AC6-67FA-4FF3-B789-9E1AA6A60B3D}" cache="Slicer_Platform" caption="Platform" style="Slicer Style 3" rowHeight="365760"/>
  <slicer name="Quarter 1" xr10:uid="{2494743D-EDEA-4B99-8B1E-40DFD80F8ECB}" cache="Slicer_Quarter1" caption="Quarter" style="Slicer Style 3"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800A95-A241-4E3A-8B37-E00F66E354BC}" name="Table1" displayName="Table1" ref="A1:T1001" totalsRowShown="0" headerRowDxfId="90" headerRowBorderDxfId="89" tableBorderDxfId="88" totalsRowBorderDxfId="87">
  <autoFilter ref="A1:T1001" xr:uid="{21800A95-A241-4E3A-8B37-E00F66E354BC}">
    <filterColumn colId="17">
      <filters>
        <filter val="0.22"/>
        <filter val="0.40"/>
        <filter val="0.43"/>
        <filter val="0.45"/>
        <filter val="0.52"/>
        <filter val="0.61"/>
        <filter val="0.70"/>
        <filter val="0.71"/>
        <filter val="0.77"/>
        <filter val="0.81"/>
        <filter val="0.84"/>
        <filter val="0.92"/>
        <filter val="0.99"/>
        <filter val="1.01"/>
        <filter val="1.07"/>
        <filter val="1.17"/>
        <filter val="1.20"/>
        <filter val="1.21"/>
        <filter val="1.30"/>
        <filter val="1.40"/>
        <filter val="1.41"/>
        <filter val="1.43"/>
        <filter val="1.46"/>
        <filter val="1.49"/>
        <filter val="1.51"/>
        <filter val="1.53"/>
        <filter val="1.57"/>
        <filter val="1.58"/>
        <filter val="1.64"/>
        <filter val="1.67"/>
        <filter val="1.69"/>
        <filter val="1.73"/>
        <filter val="1.86"/>
        <filter val="1.87"/>
        <filter val="1.88"/>
        <filter val="1.89"/>
        <filter val="1.95"/>
        <filter val="1.98"/>
        <filter val="1.99"/>
        <filter val="10.01"/>
        <filter val="10.02"/>
        <filter val="10.10"/>
        <filter val="10.20"/>
        <filter val="10.23"/>
        <filter val="10.24"/>
        <filter val="10.30"/>
        <filter val="10.33"/>
        <filter val="10.43"/>
        <filter val="10.44"/>
        <filter val="10.68"/>
        <filter val="10.77"/>
        <filter val="10.79"/>
        <filter val="10.81"/>
        <filter val="10.83"/>
        <filter val="10.88"/>
        <filter val="10.93"/>
        <filter val="100.07"/>
        <filter val="100.15"/>
        <filter val="100.58"/>
        <filter val="100.62"/>
        <filter val="101.23"/>
        <filter val="1011.91"/>
        <filter val="1012.35"/>
        <filter val="102.09"/>
        <filter val="102.60"/>
        <filter val="102.75"/>
        <filter val="103.10"/>
        <filter val="103.46"/>
        <filter val="103.80"/>
        <filter val="103.89"/>
        <filter val="104.74"/>
        <filter val="104.83"/>
        <filter val="106.24"/>
        <filter val="1067.38"/>
        <filter val="107.09"/>
        <filter val="107.45"/>
        <filter val="108.06"/>
        <filter val="108.33"/>
        <filter val="108.66"/>
        <filter val="108.71"/>
        <filter val="109.90"/>
        <filter val="1098.26"/>
        <filter val="11.04"/>
        <filter val="11.13"/>
        <filter val="11.15"/>
        <filter val="11.19"/>
        <filter val="11.24"/>
        <filter val="11.32"/>
        <filter val="11.48"/>
        <filter val="11.49"/>
        <filter val="11.50"/>
        <filter val="11.53"/>
        <filter val="11.56"/>
        <filter val="11.63"/>
        <filter val="11.65"/>
        <filter val="11.68"/>
        <filter val="11.75"/>
        <filter val="11.78"/>
        <filter val="11.84"/>
        <filter val="11.89"/>
        <filter val="110.48"/>
        <filter val="111.86"/>
        <filter val="111.89"/>
        <filter val="112.25"/>
        <filter val="112.45"/>
        <filter val="1128.98"/>
        <filter val="113.74"/>
        <filter val="113.91"/>
        <filter val="114.75"/>
        <filter val="11522.97"/>
        <filter val="116.56"/>
        <filter val="116.84"/>
        <filter val="1161.70"/>
        <filter val="1166.96"/>
        <filter val="117.46"/>
        <filter val="1188.95"/>
        <filter val="12.16"/>
        <filter val="12.17"/>
        <filter val="12.33"/>
        <filter val="12.45"/>
        <filter val="12.46"/>
        <filter val="12.52"/>
        <filter val="12.54"/>
        <filter val="12.61"/>
        <filter val="12.63"/>
        <filter val="12.64"/>
        <filter val="12.67"/>
        <filter val="12.71"/>
        <filter val="12.74"/>
        <filter val="12.85"/>
        <filter val="12.87"/>
        <filter val="12.97"/>
        <filter val="120.41"/>
        <filter val="121.10"/>
        <filter val="121.27"/>
        <filter val="1215.49"/>
        <filter val="122.67"/>
        <filter val="122.76"/>
        <filter val="1229.28"/>
        <filter val="123.74"/>
        <filter val="123.75"/>
        <filter val="123.97"/>
        <filter val="124.42"/>
        <filter val="125.52"/>
        <filter val="127.66"/>
        <filter val="1271.15"/>
        <filter val="1279.97"/>
        <filter val="128.41"/>
        <filter val="128.68"/>
        <filter val="129.77"/>
        <filter val="13.02"/>
        <filter val="13.04"/>
        <filter val="13.08"/>
        <filter val="13.09"/>
        <filter val="13.13"/>
        <filter val="13.16"/>
        <filter val="13.24"/>
        <filter val="13.31"/>
        <filter val="13.42"/>
        <filter val="13.53"/>
        <filter val="13.56"/>
        <filter val="13.58"/>
        <filter val="13.65"/>
        <filter val="13.71"/>
        <filter val="13.74"/>
        <filter val="13.75"/>
        <filter val="13.94"/>
        <filter val="130.70"/>
        <filter val="130.72"/>
        <filter val="130.86"/>
        <filter val="131.36"/>
        <filter val="131.41"/>
        <filter val="131.53"/>
        <filter val="1316.44"/>
        <filter val="132.50"/>
        <filter val="132.55"/>
        <filter val="132.71"/>
        <filter val="133.22"/>
        <filter val="134.50"/>
        <filter val="134.51"/>
        <filter val="13431.19"/>
        <filter val="1349.84"/>
        <filter val="136.05"/>
        <filter val="1364.77"/>
        <filter val="137.69"/>
        <filter val="1378.98"/>
        <filter val="13824.23"/>
        <filter val="139.30"/>
        <filter val="1393.48"/>
        <filter val="14.02"/>
        <filter val="14.04"/>
        <filter val="14.11"/>
        <filter val="14.21"/>
        <filter val="14.22"/>
        <filter val="14.24"/>
        <filter val="14.28"/>
        <filter val="14.41"/>
        <filter val="14.43"/>
        <filter val="14.44"/>
        <filter val="14.51"/>
        <filter val="14.53"/>
        <filter val="14.62"/>
        <filter val="14.67"/>
        <filter val="14.74"/>
        <filter val="14.80"/>
        <filter val="14.81"/>
        <filter val="14.99"/>
        <filter val="140.50"/>
        <filter val="142.55"/>
        <filter val="143.46"/>
        <filter val="143.57"/>
        <filter val="143.69"/>
        <filter val="145.23"/>
        <filter val="146.04"/>
        <filter val="147.74"/>
        <filter val="148.78"/>
        <filter val="149.21"/>
        <filter val="149.90"/>
        <filter val="15.07"/>
        <filter val="15.29"/>
        <filter val="15.31"/>
        <filter val="15.33"/>
        <filter val="15.34"/>
        <filter val="15.46"/>
        <filter val="15.54"/>
        <filter val="15.80"/>
        <filter val="150.13"/>
        <filter val="150.22"/>
        <filter val="150.67"/>
        <filter val="151.01"/>
        <filter val="154.52"/>
        <filter val="1550.70"/>
        <filter val="1569.06"/>
        <filter val="157.26"/>
        <filter val="158.05"/>
        <filter val="158.51"/>
        <filter val="158.67"/>
        <filter val="159.43"/>
        <filter val="16.03"/>
        <filter val="16.11"/>
        <filter val="16.15"/>
        <filter val="16.25"/>
        <filter val="16.27"/>
        <filter val="16.37"/>
        <filter val="16.54"/>
        <filter val="16.89"/>
        <filter val="16.91"/>
        <filter val="16.96"/>
        <filter val="16.98"/>
        <filter val="162.68"/>
        <filter val="1620.90"/>
        <filter val="16275.14"/>
        <filter val="163.81"/>
        <filter val="165.00"/>
        <filter val="166.95"/>
        <filter val="169.57"/>
        <filter val="1699.61"/>
        <filter val="17.08"/>
        <filter val="17.20"/>
        <filter val="17.24"/>
        <filter val="17.33"/>
        <filter val="17.44"/>
        <filter val="17.46"/>
        <filter val="17.52"/>
        <filter val="17.54"/>
        <filter val="17.59"/>
        <filter val="17.60"/>
        <filter val="17.63"/>
        <filter val="17.71"/>
        <filter val="17.74"/>
        <filter val="17.81"/>
        <filter val="17.91"/>
        <filter val="17.93"/>
        <filter val="170.41"/>
        <filter val="170.83"/>
        <filter val="172.03"/>
        <filter val="1761.61"/>
        <filter val="177.26"/>
        <filter val="18.02"/>
        <filter val="18.17"/>
        <filter val="18.18"/>
        <filter val="18.19"/>
        <filter val="18.26"/>
        <filter val="18.30"/>
        <filter val="18.60"/>
        <filter val="18.64"/>
        <filter val="18.69"/>
        <filter val="18.75"/>
        <filter val="18.82"/>
        <filter val="18.91"/>
        <filter val="18.93"/>
        <filter val="185.51"/>
        <filter val="187.59"/>
        <filter val="188.44"/>
        <filter val="19.05"/>
        <filter val="19.10"/>
        <filter val="19.23"/>
        <filter val="19.25"/>
        <filter val="19.31"/>
        <filter val="19.42"/>
        <filter val="19.43"/>
        <filter val="19.68"/>
        <filter val="19.69"/>
        <filter val="19.83"/>
        <filter val="190.39"/>
        <filter val="192.38"/>
        <filter val="192.69"/>
        <filter val="193.19"/>
        <filter val="193.61"/>
        <filter val="193.65"/>
        <filter val="1932.88"/>
        <filter val="194.71"/>
        <filter val="195.37"/>
        <filter val="199.10"/>
        <filter val="1995.12"/>
        <filter val="2.00"/>
        <filter val="2.10"/>
        <filter val="2.11"/>
        <filter val="2.13"/>
        <filter val="2.23"/>
        <filter val="2.26"/>
        <filter val="2.39"/>
        <filter val="2.45"/>
        <filter val="2.48"/>
        <filter val="2.58"/>
        <filter val="2.61"/>
        <filter val="2.64"/>
        <filter val="2.69"/>
        <filter val="2.76"/>
        <filter val="2.78"/>
        <filter val="2.82"/>
        <filter val="2.86"/>
        <filter val="2.87"/>
        <filter val="2.88"/>
        <filter val="20.12"/>
        <filter val="20.47"/>
        <filter val="20.49"/>
        <filter val="20.61"/>
        <filter val="20.79"/>
        <filter val="20.80"/>
        <filter val="20.87"/>
        <filter val="20.92"/>
        <filter val="20.97"/>
        <filter val="20.98"/>
        <filter val="20.99"/>
        <filter val="200.89"/>
        <filter val="2002.24"/>
        <filter val="201.11"/>
        <filter val="201.14"/>
        <filter val="204.02"/>
        <filter val="205.81"/>
        <filter val="207.66"/>
        <filter val="207.80"/>
        <filter val="209.21"/>
        <filter val="209.64"/>
        <filter val="2096.16"/>
        <filter val="21.00"/>
        <filter val="21.09"/>
        <filter val="21.12"/>
        <filter val="21.24"/>
        <filter val="21.28"/>
        <filter val="21.30"/>
        <filter val="21.38"/>
        <filter val="21.52"/>
        <filter val="21.62"/>
        <filter val="21.64"/>
        <filter val="21.81"/>
        <filter val="21.86"/>
        <filter val="210.12"/>
        <filter val="211.96"/>
        <filter val="212.14"/>
        <filter val="212.75"/>
        <filter val="216.07"/>
        <filter val="219.94"/>
        <filter val="22.02"/>
        <filter val="22.03"/>
        <filter val="22.10"/>
        <filter val="22.26"/>
        <filter val="22.41"/>
        <filter val="22.44"/>
        <filter val="22.82"/>
        <filter val="22.87"/>
        <filter val="22.89"/>
        <filter val="220.78"/>
        <filter val="2202.39"/>
        <filter val="221.53"/>
        <filter val="221.78"/>
        <filter val="224.80"/>
        <filter val="224.91"/>
        <filter val="226.52"/>
        <filter val="226.85"/>
        <filter val="228.34"/>
        <filter val="229.52"/>
        <filter val="23.21"/>
        <filter val="23.36"/>
        <filter val="23.41"/>
        <filter val="23.51"/>
        <filter val="23.56"/>
        <filter val="23.59"/>
        <filter val="23.95"/>
        <filter val="231.37"/>
        <filter val="232.66"/>
        <filter val="2327.63"/>
        <filter val="233.94"/>
        <filter val="234.35"/>
        <filter val="235.62"/>
        <filter val="24.00"/>
        <filter val="24.08"/>
        <filter val="24.09"/>
        <filter val="24.14"/>
        <filter val="24.22"/>
        <filter val="24.24"/>
        <filter val="24.31"/>
        <filter val="24.32"/>
        <filter val="24.39"/>
        <filter val="24.44"/>
        <filter val="24.47"/>
        <filter val="24.62"/>
        <filter val="24.68"/>
        <filter val="24.75"/>
        <filter val="24.79"/>
        <filter val="24.99"/>
        <filter val="242.04"/>
        <filter val="243.46"/>
        <filter val="245.62"/>
        <filter val="246.21"/>
        <filter val="247.37"/>
        <filter val="247.43"/>
        <filter val="248.56"/>
        <filter val="248.93"/>
        <filter val="25.04"/>
        <filter val="25.08"/>
        <filter val="25.13"/>
        <filter val="25.14"/>
        <filter val="25.16"/>
        <filter val="25.29"/>
        <filter val="25.40"/>
        <filter val="25.41"/>
        <filter val="25.46"/>
        <filter val="25.66"/>
        <filter val="25.80"/>
        <filter val="25.88"/>
        <filter val="255.39"/>
        <filter val="258.67"/>
        <filter val="258.92"/>
        <filter val="26.04"/>
        <filter val="26.14"/>
        <filter val="26.20"/>
        <filter val="26.26"/>
        <filter val="26.29"/>
        <filter val="26.37"/>
        <filter val="26.53"/>
        <filter val="26.57"/>
        <filter val="26.58"/>
        <filter val="26.59"/>
        <filter val="26.76"/>
        <filter val="26.83"/>
        <filter val="26.93"/>
        <filter val="261.29"/>
        <filter val="262.45"/>
        <filter val="263.20"/>
        <filter val="2634.10"/>
        <filter val="27.26"/>
        <filter val="27.32"/>
        <filter val="27.33"/>
        <filter val="27.38"/>
        <filter val="27.43"/>
        <filter val="27.70"/>
        <filter val="271.82"/>
        <filter val="272.59"/>
        <filter val="272.86"/>
        <filter val="273.57"/>
        <filter val="278.91"/>
        <filter val="279.57"/>
        <filter val="28.28"/>
        <filter val="28.47"/>
        <filter val="28.60"/>
        <filter val="28.66"/>
        <filter val="28.96"/>
        <filter val="280.75"/>
        <filter val="2807.13"/>
        <filter val="281.54"/>
        <filter val="281.75"/>
        <filter val="285.35"/>
        <filter val="29.02"/>
        <filter val="29.39"/>
        <filter val="29.43"/>
        <filter val="29.50"/>
        <filter val="29.57"/>
        <filter val="29.67"/>
        <filter val="29.79"/>
        <filter val="29.82"/>
        <filter val="29.88"/>
        <filter val="292.31"/>
        <filter val="3.03"/>
        <filter val="3.11"/>
        <filter val="3.14"/>
        <filter val="3.18"/>
        <filter val="3.20"/>
        <filter val="3.25"/>
        <filter val="3.28"/>
        <filter val="3.32"/>
        <filter val="3.33"/>
        <filter val="3.39"/>
        <filter val="3.43"/>
        <filter val="3.44"/>
        <filter val="3.45"/>
        <filter val="3.50"/>
        <filter val="3.53"/>
        <filter val="3.57"/>
        <filter val="3.62"/>
        <filter val="3.63"/>
        <filter val="3.75"/>
        <filter val="3.79"/>
        <filter val="3.83"/>
        <filter val="3.84"/>
        <filter val="3.88"/>
        <filter val="3.89"/>
        <filter val="3.92"/>
        <filter val="3.98"/>
        <filter val="30.27"/>
        <filter val="30.30"/>
        <filter val="30.32"/>
        <filter val="30.69"/>
        <filter val="30.88"/>
        <filter val="30.91"/>
        <filter val="300.01"/>
        <filter val="305.63"/>
        <filter val="309.69"/>
        <filter val="31.00"/>
        <filter val="31.05"/>
        <filter val="31.07"/>
        <filter val="31.12"/>
        <filter val="31.21"/>
        <filter val="31.46"/>
        <filter val="31.80"/>
        <filter val="31.94"/>
        <filter val="31.96"/>
        <filter val="31.99"/>
        <filter val="318.52"/>
        <filter val="32.29"/>
        <filter val="32.61"/>
        <filter val="32.93"/>
        <filter val="32.99"/>
        <filter val="322.76"/>
        <filter val="322.81"/>
        <filter val="322.94"/>
        <filter val="323.00"/>
        <filter val="324.37"/>
        <filter val="327.57"/>
        <filter val="327.59"/>
        <filter val="329.61"/>
        <filter val="33.61"/>
        <filter val="33.63"/>
        <filter val="33.72"/>
        <filter val="334.81"/>
        <filter val="335.37"/>
        <filter val="335.57"/>
        <filter val="34.14"/>
        <filter val="34.26"/>
        <filter val="34.45"/>
        <filter val="34.54"/>
        <filter val="34.63"/>
        <filter val="34.79"/>
        <filter val="34.84"/>
        <filter val="341.44"/>
        <filter val="35.03"/>
        <filter val="35.20"/>
        <filter val="35.51"/>
        <filter val="35.53"/>
        <filter val="35.63"/>
        <filter val="3501.79"/>
        <filter val="36.11"/>
        <filter val="36.21"/>
        <filter val="36.27"/>
        <filter val="36.30"/>
        <filter val="36.49"/>
        <filter val="36.67"/>
        <filter val="360.84"/>
        <filter val="361.18"/>
        <filter val="369.28"/>
        <filter val="37.36"/>
        <filter val="37.43"/>
        <filter val="37.52"/>
        <filter val="37.56"/>
        <filter val="37.65"/>
        <filter val="371.47"/>
        <filter val="373.32"/>
        <filter val="373.33"/>
        <filter val="377.71"/>
        <filter val="38.06"/>
        <filter val="38.11"/>
        <filter val="38.20"/>
        <filter val="38.33"/>
        <filter val="38.77"/>
        <filter val="38.87"/>
        <filter val="39.13"/>
        <filter val="39.46"/>
        <filter val="39.67"/>
        <filter val="4.00"/>
        <filter val="4.01"/>
        <filter val="4.04"/>
        <filter val="4.20"/>
        <filter val="4.23"/>
        <filter val="4.24"/>
        <filter val="4.31"/>
        <filter val="4.36"/>
        <filter val="4.48"/>
        <filter val="4.49"/>
        <filter val="4.52"/>
        <filter val="4.53"/>
        <filter val="4.56"/>
        <filter val="4.68"/>
        <filter val="4.70"/>
        <filter val="4.91"/>
        <filter val="4.98"/>
        <filter val="40.15"/>
        <filter val="40.25"/>
        <filter val="40.52"/>
        <filter val="40.53"/>
        <filter val="40.80"/>
        <filter val="4033.46"/>
        <filter val="4057.14"/>
        <filter val="41.03"/>
        <filter val="41.10"/>
        <filter val="41.35"/>
        <filter val="41.45"/>
        <filter val="41.71"/>
        <filter val="41.74"/>
        <filter val="41.86"/>
        <filter val="410.01"/>
        <filter val="4157.90"/>
        <filter val="42.20"/>
        <filter val="42.41"/>
        <filter val="42.60"/>
        <filter val="42.63"/>
        <filter val="42.64"/>
        <filter val="426.38"/>
        <filter val="43.02"/>
        <filter val="43.28"/>
        <filter val="43.98"/>
        <filter val="44.34"/>
        <filter val="44.43"/>
        <filter val="44.64"/>
        <filter val="44.76"/>
        <filter val="45.26"/>
        <filter val="45.31"/>
        <filter val="45.36"/>
        <filter val="45.53"/>
        <filter val="45.56"/>
        <filter val="45.78"/>
        <filter val="457.05"/>
        <filter val="46.27"/>
        <filter val="46.37"/>
        <filter val="46.39"/>
        <filter val="46.81"/>
        <filter val="47.05"/>
        <filter val="47.25"/>
        <filter val="471.70"/>
        <filter val="476.86"/>
        <filter val="48.07"/>
        <filter val="48.10"/>
        <filter val="48.37"/>
        <filter val="48.98"/>
        <filter val="481.24"/>
        <filter val="483.31"/>
        <filter val="485.58"/>
        <filter val="4872.74"/>
        <filter val="49.16"/>
        <filter val="49.29"/>
        <filter val="49.57"/>
        <filter val="49.59"/>
        <filter val="49.78"/>
        <filter val="49.84"/>
        <filter val="4905.31"/>
        <filter val="4939.97"/>
        <filter val="5.02"/>
        <filter val="5.04"/>
        <filter val="5.09"/>
        <filter val="5.11"/>
        <filter val="5.12"/>
        <filter val="5.19"/>
        <filter val="5.24"/>
        <filter val="5.26"/>
        <filter val="5.27"/>
        <filter val="5.33"/>
        <filter val="5.40"/>
        <filter val="5.41"/>
        <filter val="5.42"/>
        <filter val="5.43"/>
        <filter val="5.45"/>
        <filter val="5.47"/>
        <filter val="5.54"/>
        <filter val="5.57"/>
        <filter val="5.60"/>
        <filter val="5.61"/>
        <filter val="5.63"/>
        <filter val="5.64"/>
        <filter val="5.66"/>
        <filter val="5.69"/>
        <filter val="5.75"/>
        <filter val="5.88"/>
        <filter val="5.93"/>
        <filter val="5.97"/>
        <filter val="50.13"/>
        <filter val="50.15"/>
        <filter val="50.45"/>
        <filter val="50.92"/>
        <filter val="501.31"/>
        <filter val="51.10"/>
        <filter val="51.23"/>
        <filter val="51.41"/>
        <filter val="51.62"/>
        <filter val="51.70"/>
        <filter val="510.10"/>
        <filter val="52.60"/>
        <filter val="52.68"/>
        <filter val="52.70"/>
        <filter val="520.43"/>
        <filter val="529.08"/>
        <filter val="53.07"/>
        <filter val="53.11"/>
        <filter val="53.54"/>
        <filter val="53.60"/>
        <filter val="53.82"/>
        <filter val="53.88"/>
        <filter val="530.42"/>
        <filter val="537.63"/>
        <filter val="54.21"/>
        <filter val="54.48"/>
        <filter val="54.69"/>
        <filter val="54.97"/>
        <filter val="547.24"/>
        <filter val="55.11"/>
        <filter val="55.84"/>
        <filter val="551.33"/>
        <filter val="56.24"/>
        <filter val="56.34"/>
        <filter val="56.95"/>
        <filter val="569.17"/>
        <filter val="57.06"/>
        <filter val="57.07"/>
        <filter val="57.21"/>
        <filter val="57.39"/>
        <filter val="57.40"/>
        <filter val="57.50"/>
        <filter val="57.62"/>
        <filter val="58.01"/>
        <filter val="58.31"/>
        <filter val="58.36"/>
        <filter val="58.83"/>
        <filter val="587.41"/>
        <filter val="59.05"/>
        <filter val="59.45"/>
        <filter val="59.69"/>
        <filter val="6.06"/>
        <filter val="6.07"/>
        <filter val="6.10"/>
        <filter val="6.18"/>
        <filter val="6.24"/>
        <filter val="6.30"/>
        <filter val="6.37"/>
        <filter val="6.53"/>
        <filter val="6.60"/>
        <filter val="6.63"/>
        <filter val="6.71"/>
        <filter val="6.81"/>
        <filter val="6.83"/>
        <filter val="6.86"/>
        <filter val="6.92"/>
        <filter val="6.94"/>
        <filter val="6.99"/>
        <filter val="60.19"/>
        <filter val="60.58"/>
        <filter val="60.73"/>
        <filter val="60.95"/>
        <filter val="61.10"/>
        <filter val="61.18"/>
        <filter val="61.66"/>
        <filter val="62.52"/>
        <filter val="62.63"/>
        <filter val="622.51"/>
        <filter val="629.30"/>
        <filter val="629.70"/>
        <filter val="63.14"/>
        <filter val="63.45"/>
        <filter val="631.59"/>
        <filter val="638.64"/>
        <filter val="64.35"/>
        <filter val="65.40"/>
        <filter val="65.56"/>
        <filter val="6503.35"/>
        <filter val="6563.51"/>
        <filter val="66.30"/>
        <filter val="66.57"/>
        <filter val="66.81"/>
        <filter val="67.01"/>
        <filter val="67.11"/>
        <filter val="67.51"/>
        <filter val="67.88"/>
        <filter val="68.25"/>
        <filter val="68.50"/>
        <filter val="68.85"/>
        <filter val="68.89"/>
        <filter val="68.99"/>
        <filter val="681.94"/>
        <filter val="684.10"/>
        <filter val="694.25"/>
        <filter val="7.05"/>
        <filter val="7.16"/>
        <filter val="7.20"/>
        <filter val="7.23"/>
        <filter val="7.32"/>
        <filter val="7.37"/>
        <filter val="7.48"/>
        <filter val="7.52"/>
        <filter val="7.56"/>
        <filter val="7.67"/>
        <filter val="7.69"/>
        <filter val="7.73"/>
        <filter val="7.74"/>
        <filter val="7.76"/>
        <filter val="7.77"/>
        <filter val="7.78"/>
        <filter val="7.84"/>
        <filter val="7.92"/>
        <filter val="7.94"/>
        <filter val="7.97"/>
        <filter val="70.48"/>
        <filter val="70.67"/>
        <filter val="70.83"/>
        <filter val="71.00"/>
        <filter val="71.61"/>
        <filter val="72.60"/>
        <filter val="73.10"/>
        <filter val="73.97"/>
        <filter val="739.91"/>
        <filter val="747.30"/>
        <filter val="749.03"/>
        <filter val="75.02"/>
        <filter val="75.80"/>
        <filter val="75.94"/>
        <filter val="754.39"/>
        <filter val="76.82"/>
        <filter val="76.94"/>
        <filter val="77.04"/>
        <filter val="77.08"/>
        <filter val="77.30"/>
        <filter val="78.03"/>
        <filter val="78.29"/>
        <filter val="78.42"/>
        <filter val="78.54"/>
        <filter val="78.62"/>
        <filter val="783.87"/>
        <filter val="79.08"/>
        <filter val="79.10"/>
        <filter val="79.38"/>
        <filter val="79.55"/>
        <filter val="8.01"/>
        <filter val="8.07"/>
        <filter val="8.12"/>
        <filter val="8.19"/>
        <filter val="8.22"/>
        <filter val="8.25"/>
        <filter val="8.29"/>
        <filter val="8.51"/>
        <filter val="8.52"/>
        <filter val="8.53"/>
        <filter val="8.65"/>
        <filter val="8.70"/>
        <filter val="8.75"/>
        <filter val="8.79"/>
        <filter val="8.90"/>
        <filter val="8.91"/>
        <filter val="8.97"/>
        <filter val="81.79"/>
        <filter val="81.85"/>
        <filter val="81.88"/>
        <filter val="81.91"/>
        <filter val="815.94"/>
        <filter val="82.14"/>
        <filter val="82.28"/>
        <filter val="82.68"/>
        <filter val="820.18"/>
        <filter val="829.76"/>
        <filter val="83.48"/>
        <filter val="83.69"/>
        <filter val="83.74"/>
        <filter val="838.44"/>
        <filter val="84.66"/>
        <filter val="85.55"/>
        <filter val="85.92"/>
        <filter val="86.17"/>
        <filter val="874.69"/>
        <filter val="879.74"/>
        <filter val="88.05"/>
        <filter val="88.31"/>
        <filter val="88.36"/>
        <filter val="88.72"/>
        <filter val="8836.13"/>
        <filter val="89.13"/>
        <filter val="89.44"/>
        <filter val="9.13"/>
        <filter val="9.14"/>
        <filter val="9.15"/>
        <filter val="9.16"/>
        <filter val="9.19"/>
        <filter val="9.25"/>
        <filter val="9.28"/>
        <filter val="9.35"/>
        <filter val="9.37"/>
        <filter val="9.39"/>
        <filter val="9.42"/>
        <filter val="9.54"/>
        <filter val="9.57"/>
        <filter val="9.62"/>
        <filter val="9.89"/>
        <filter val="9.94"/>
        <filter val="90.13"/>
        <filter val="90.15"/>
        <filter val="907.78"/>
        <filter val="91.00"/>
        <filter val="91.28"/>
        <filter val="91.51"/>
        <filter val="91.94"/>
        <filter val="92.07"/>
        <filter val="92.38"/>
        <filter val="924.59"/>
        <filter val="93.14"/>
        <filter val="93.39"/>
        <filter val="93.79"/>
        <filter val="94.00"/>
        <filter val="94.28"/>
        <filter val="95.00"/>
        <filter val="95.64"/>
        <filter val="96.20"/>
        <filter val="96.81"/>
        <filter val="96.95"/>
        <filter val="98.07"/>
        <filter val="98.63"/>
        <filter val="98.74"/>
        <filter val="99.30"/>
        <filter val="99.51"/>
      </filters>
    </filterColumn>
  </autoFilter>
  <tableColumns count="20">
    <tableColumn id="1" xr3:uid="{16C80BB0-CA37-4DAF-8C93-9E97C37FAC70}" name="Row ID" dataDxfId="86"/>
    <tableColumn id="2" xr3:uid="{A4735EE1-18A1-4821-830D-1CDE81B451E6}" name="Campaign Name" dataDxfId="85"/>
    <tableColumn id="3" xr3:uid="{04E9D79B-B30F-4822-BD36-291C5666FB0A}" name="Platform" dataDxfId="84"/>
    <tableColumn id="4" xr3:uid="{BA72555B-9F63-47BF-A747-1B1420CFC501}" name="Objective" dataDxfId="83"/>
    <tableColumn id="5" xr3:uid="{F9F8F649-98AA-40CC-B2AB-75E4A3538773}" name="Region" dataDxfId="82"/>
    <tableColumn id="6" xr3:uid="{F5C9C654-B152-431C-8C11-817FF8D7EE39}" name="Device" dataDxfId="81"/>
    <tableColumn id="7" xr3:uid="{47020A18-3205-491E-8C58-E0E794C7AF2B}" name="Age Band" dataDxfId="80"/>
    <tableColumn id="8" xr3:uid="{ECC13883-EA04-44E4-A794-784B046B4EA1}" name="Month" dataDxfId="79"/>
    <tableColumn id="9" xr3:uid="{F178A644-A620-40A4-9CE2-FA74A86B263E}" name="Quarter" dataDxfId="78"/>
    <tableColumn id="10" xr3:uid="{604D6401-B47F-4FF4-8FAB-DFB563A4A463}" name="Year" dataDxfId="77"/>
    <tableColumn id="11" xr3:uid="{23D2C1C5-C92B-4407-B3AA-F45B5637C688}" name="Budget ($)" dataDxfId="76"/>
    <tableColumn id="12" xr3:uid="{74CD6F0E-A80A-4649-9474-D75C67428988}" name="Impressions" dataDxfId="75"/>
    <tableColumn id="13" xr3:uid="{45EBE917-EC4F-49D9-8606-170F46665400}" name="Clicks" dataDxfId="74"/>
    <tableColumn id="14" xr3:uid="{5FFFC716-E21A-4041-B536-5E1996533A77}" name="Conversions" dataDxfId="73"/>
    <tableColumn id="15" xr3:uid="{FE9D1A49-3213-4E72-BCD7-5A58C7C4610E}" name="Spend ($)" dataDxfId="72"/>
    <tableColumn id="16" xr3:uid="{86114F8C-CBDE-4B91-8434-94836624242A}" name="CTR (%)" dataDxfId="71">
      <calculatedColumnFormula>IFERROR(M2/L2*100,0)</calculatedColumnFormula>
    </tableColumn>
    <tableColumn id="17" xr3:uid="{BD070148-23DC-4DD1-B2BF-8E8C5DA1189D}" name="CPC ($)" dataDxfId="70">
      <calculatedColumnFormula>IFERROR(O2/M2,0)</calculatedColumnFormula>
    </tableColumn>
    <tableColumn id="18" xr3:uid="{7A9E1EC3-8C8C-4C05-97CD-CB1B86239B0E}" name="CPA ($)" dataDxfId="69">
      <calculatedColumnFormula>IFERROR(O2/N2,"-")</calculatedColumnFormula>
    </tableColumn>
    <tableColumn id="19" xr3:uid="{70EB70B1-9979-4D1A-8C1D-A0133A8B3366}" name="ROAS" dataDxfId="68">
      <calculatedColumnFormula>IFERROR(K2/O2,0)</calculatedColumnFormula>
    </tableColumn>
    <tableColumn id="20" xr3:uid="{FDE0D7F3-C308-42BB-AC56-C18024A1940C}" name="Efficiency Score" dataDxfId="67">
      <calculatedColumnFormula>IF(P2&gt;=3,"🟢 High",IF(P2&gt;=1.5,"🟡 Mid","🔴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T1001"/>
  <sheetViews>
    <sheetView zoomScaleNormal="100" workbookViewId="0">
      <pane ySplit="1" topLeftCell="A2" activePane="bottomLeft" state="frozen"/>
      <selection pane="bottomLeft" activeCell="M13" sqref="M13"/>
    </sheetView>
  </sheetViews>
  <sheetFormatPr defaultColWidth="8.6640625" defaultRowHeight="14.4" x14ac:dyDescent="0.3"/>
  <cols>
    <col min="1" max="1" width="8.6640625" style="7" customWidth="1"/>
    <col min="2" max="2" width="24.21875" bestFit="1" customWidth="1"/>
    <col min="3" max="3" width="11.6640625" bestFit="1" customWidth="1"/>
    <col min="4" max="4" width="14.44140625" bestFit="1" customWidth="1"/>
    <col min="5" max="5" width="8.33203125" customWidth="1"/>
    <col min="6" max="6" width="8.21875" customWidth="1"/>
    <col min="7" max="7" width="10.33203125" customWidth="1"/>
    <col min="8" max="8" width="8.21875" customWidth="1"/>
    <col min="9" max="9" width="9.109375" customWidth="1"/>
    <col min="10" max="10" width="7.44140625" style="7" bestFit="1" customWidth="1"/>
    <col min="11" max="11" width="11.109375" customWidth="1"/>
    <col min="12" max="12" width="12.44140625" customWidth="1"/>
    <col min="13" max="13" width="8.44140625" bestFit="1" customWidth="1"/>
    <col min="14" max="14" width="12.44140625" customWidth="1"/>
    <col min="15" max="15" width="10.33203125" customWidth="1"/>
    <col min="16" max="16" width="8.77734375" customWidth="1"/>
    <col min="17" max="17" width="8.44140625" customWidth="1"/>
    <col min="18" max="18" width="8.5546875" customWidth="1"/>
    <col min="19" max="19" width="7.33203125" customWidth="1"/>
    <col min="20" max="20" width="15" customWidth="1"/>
  </cols>
  <sheetData>
    <row r="1" spans="1:20" x14ac:dyDescent="0.3">
      <c r="A1" s="20" t="s">
        <v>0</v>
      </c>
      <c r="B1" s="21" t="s">
        <v>1</v>
      </c>
      <c r="C1" s="21" t="s">
        <v>2</v>
      </c>
      <c r="D1" s="21" t="s">
        <v>3</v>
      </c>
      <c r="E1" s="21" t="s">
        <v>4</v>
      </c>
      <c r="F1" s="21" t="s">
        <v>5</v>
      </c>
      <c r="G1" s="21" t="s">
        <v>6</v>
      </c>
      <c r="H1" s="21" t="s">
        <v>7</v>
      </c>
      <c r="I1" s="21" t="s">
        <v>8</v>
      </c>
      <c r="J1" s="22" t="s">
        <v>9</v>
      </c>
      <c r="K1" s="23" t="s">
        <v>10</v>
      </c>
      <c r="L1" s="23" t="s">
        <v>11</v>
      </c>
      <c r="M1" s="23" t="s">
        <v>12</v>
      </c>
      <c r="N1" s="23" t="s">
        <v>13</v>
      </c>
      <c r="O1" s="23" t="s">
        <v>14</v>
      </c>
      <c r="P1" s="24" t="s">
        <v>15</v>
      </c>
      <c r="Q1" s="24" t="s">
        <v>16</v>
      </c>
      <c r="R1" s="24" t="s">
        <v>17</v>
      </c>
      <c r="S1" s="24" t="s">
        <v>18</v>
      </c>
      <c r="T1" s="25" t="s">
        <v>19</v>
      </c>
    </row>
    <row r="2" spans="1:20" x14ac:dyDescent="0.3">
      <c r="A2" s="16">
        <v>1</v>
      </c>
      <c r="B2" s="1" t="s">
        <v>20</v>
      </c>
      <c r="C2" s="1" t="s">
        <v>21</v>
      </c>
      <c r="D2" s="1" t="s">
        <v>22</v>
      </c>
      <c r="E2" s="1" t="s">
        <v>23</v>
      </c>
      <c r="F2" s="1" t="s">
        <v>24</v>
      </c>
      <c r="G2" s="1" t="s">
        <v>25</v>
      </c>
      <c r="H2" s="1" t="s">
        <v>26</v>
      </c>
      <c r="I2" s="1" t="s">
        <v>27</v>
      </c>
      <c r="J2" s="5">
        <v>2023</v>
      </c>
      <c r="K2" s="1">
        <v>13695.64</v>
      </c>
      <c r="L2" s="1">
        <v>576858</v>
      </c>
      <c r="M2" s="1">
        <v>6618</v>
      </c>
      <c r="N2" s="1">
        <v>36</v>
      </c>
      <c r="O2" s="1">
        <v>9475.0300000000007</v>
      </c>
      <c r="P2" s="8">
        <f>IFERROR(M2/L2*100,0)</f>
        <v>1.1472494097334178</v>
      </c>
      <c r="Q2" s="10">
        <f>IFERROR(O2/M2,0)</f>
        <v>1.4317059534602601</v>
      </c>
      <c r="R2" s="12">
        <f>IFERROR(O2/N2,"-")</f>
        <v>263.19527777777779</v>
      </c>
      <c r="S2" s="2">
        <f t="shared" ref="S2:S65" si="0">IFERROR(K2/O2,0)</f>
        <v>1.4454455553175027</v>
      </c>
      <c r="T2" s="18" t="str">
        <f t="shared" ref="T2:T65" si="1">IF(P2&gt;=3,"🟢 High",IF(P2&gt;=1.5,"🟡 Mid","🔴 Low"))</f>
        <v>🔴 Low</v>
      </c>
    </row>
    <row r="3" spans="1:20" x14ac:dyDescent="0.3">
      <c r="A3" s="17">
        <v>2</v>
      </c>
      <c r="B3" s="3" t="s">
        <v>28</v>
      </c>
      <c r="C3" s="3" t="s">
        <v>21</v>
      </c>
      <c r="D3" s="3" t="s">
        <v>29</v>
      </c>
      <c r="E3" s="3" t="s">
        <v>30</v>
      </c>
      <c r="F3" s="3" t="s">
        <v>31</v>
      </c>
      <c r="G3" s="3" t="s">
        <v>32</v>
      </c>
      <c r="H3" s="3" t="s">
        <v>33</v>
      </c>
      <c r="I3" s="3" t="s">
        <v>34</v>
      </c>
      <c r="J3" s="6">
        <v>2023</v>
      </c>
      <c r="K3" s="3">
        <v>9259.58</v>
      </c>
      <c r="L3" s="3">
        <v>296704</v>
      </c>
      <c r="M3" s="3">
        <v>2883</v>
      </c>
      <c r="N3" s="3">
        <v>98</v>
      </c>
      <c r="O3" s="3">
        <v>5581.02</v>
      </c>
      <c r="P3" s="9">
        <f t="shared" ref="P3:P65" si="2">IFERROR(M3/L3*100,0)</f>
        <v>0.9716754745470233</v>
      </c>
      <c r="Q3" s="11">
        <f t="shared" ref="Q3:Q65" si="3">IFERROR(O3/M3,0)</f>
        <v>1.9358376690946932</v>
      </c>
      <c r="R3" s="13">
        <f t="shared" ref="R3:R65" si="4">IFERROR(O3/N3,"-")</f>
        <v>56.949183673469392</v>
      </c>
      <c r="S3" s="4">
        <f t="shared" si="0"/>
        <v>1.6591196591304098</v>
      </c>
      <c r="T3" s="19" t="str">
        <f>IF(P3&gt;=3,"🟢 High",IF(P3&gt;=1.5,"🟡 Mid","🔴 Low"))</f>
        <v>🔴 Low</v>
      </c>
    </row>
    <row r="4" spans="1:20" x14ac:dyDescent="0.3">
      <c r="A4" s="16">
        <v>3</v>
      </c>
      <c r="B4" s="1" t="s">
        <v>35</v>
      </c>
      <c r="C4" s="1" t="s">
        <v>36</v>
      </c>
      <c r="D4" s="1" t="s">
        <v>13</v>
      </c>
      <c r="E4" s="1" t="s">
        <v>23</v>
      </c>
      <c r="F4" s="1" t="s">
        <v>24</v>
      </c>
      <c r="G4" s="1" t="s">
        <v>25</v>
      </c>
      <c r="H4" s="1" t="s">
        <v>37</v>
      </c>
      <c r="I4" s="1" t="s">
        <v>38</v>
      </c>
      <c r="J4" s="5">
        <v>2023</v>
      </c>
      <c r="K4" s="1">
        <v>2308.54</v>
      </c>
      <c r="L4" s="1">
        <v>106414</v>
      </c>
      <c r="M4" s="1">
        <v>2670</v>
      </c>
      <c r="N4" s="1">
        <v>182</v>
      </c>
      <c r="O4" s="1">
        <v>1427.25</v>
      </c>
      <c r="P4" s="8">
        <f t="shared" si="2"/>
        <v>2.5090683556674871</v>
      </c>
      <c r="Q4" s="10">
        <f t="shared" si="3"/>
        <v>0.53455056179775284</v>
      </c>
      <c r="R4" s="12">
        <f t="shared" si="4"/>
        <v>7.8420329670329672</v>
      </c>
      <c r="S4" s="2">
        <f t="shared" si="0"/>
        <v>1.6174741636013312</v>
      </c>
      <c r="T4" s="18" t="str">
        <f t="shared" si="1"/>
        <v>🟡 Mid</v>
      </c>
    </row>
    <row r="5" spans="1:20" x14ac:dyDescent="0.3">
      <c r="A5" s="17">
        <v>4</v>
      </c>
      <c r="B5" s="3" t="s">
        <v>39</v>
      </c>
      <c r="C5" s="3" t="s">
        <v>40</v>
      </c>
      <c r="D5" s="3" t="s">
        <v>41</v>
      </c>
      <c r="E5" s="3" t="s">
        <v>42</v>
      </c>
      <c r="F5" s="3" t="s">
        <v>31</v>
      </c>
      <c r="G5" s="3" t="s">
        <v>43</v>
      </c>
      <c r="H5" s="3" t="s">
        <v>44</v>
      </c>
      <c r="I5" s="3" t="s">
        <v>45</v>
      </c>
      <c r="J5" s="6">
        <v>2024</v>
      </c>
      <c r="K5" s="3">
        <v>11758.37</v>
      </c>
      <c r="L5" s="3">
        <v>743797</v>
      </c>
      <c r="M5" s="3">
        <v>14545</v>
      </c>
      <c r="N5" s="3">
        <v>953</v>
      </c>
      <c r="O5" s="3">
        <v>10320.68</v>
      </c>
      <c r="P5" s="9">
        <f t="shared" si="2"/>
        <v>1.9555066772251031</v>
      </c>
      <c r="Q5" s="11">
        <f t="shared" si="3"/>
        <v>0.70956892402887595</v>
      </c>
      <c r="R5" s="13">
        <f t="shared" si="4"/>
        <v>10.829674711437566</v>
      </c>
      <c r="S5" s="4">
        <f t="shared" si="0"/>
        <v>1.1393018677063915</v>
      </c>
      <c r="T5" s="19" t="str">
        <f t="shared" si="1"/>
        <v>🟡 Mid</v>
      </c>
    </row>
    <row r="6" spans="1:20" x14ac:dyDescent="0.3">
      <c r="A6" s="16">
        <v>5</v>
      </c>
      <c r="B6" s="1" t="s">
        <v>39</v>
      </c>
      <c r="C6" s="1" t="s">
        <v>40</v>
      </c>
      <c r="D6" s="1" t="s">
        <v>46</v>
      </c>
      <c r="E6" s="1" t="s">
        <v>42</v>
      </c>
      <c r="F6" s="1" t="s">
        <v>47</v>
      </c>
      <c r="G6" s="1" t="s">
        <v>43</v>
      </c>
      <c r="H6" s="1" t="s">
        <v>48</v>
      </c>
      <c r="I6" s="1" t="s">
        <v>34</v>
      </c>
      <c r="J6" s="5">
        <v>2024</v>
      </c>
      <c r="K6" s="1">
        <v>3671.75</v>
      </c>
      <c r="L6" s="1">
        <v>377528</v>
      </c>
      <c r="M6" s="1">
        <v>6414</v>
      </c>
      <c r="N6" s="1">
        <v>617</v>
      </c>
      <c r="O6" s="1">
        <v>3202.41</v>
      </c>
      <c r="P6" s="8">
        <f t="shared" si="2"/>
        <v>1.6989468330825794</v>
      </c>
      <c r="Q6" s="10">
        <f t="shared" si="3"/>
        <v>0.49928437792329278</v>
      </c>
      <c r="R6" s="12">
        <f t="shared" si="4"/>
        <v>5.1902917341977304</v>
      </c>
      <c r="S6" s="2">
        <f t="shared" si="0"/>
        <v>1.1465583732251647</v>
      </c>
      <c r="T6" s="18" t="str">
        <f t="shared" si="1"/>
        <v>🟡 Mid</v>
      </c>
    </row>
    <row r="7" spans="1:20" x14ac:dyDescent="0.3">
      <c r="A7" s="17">
        <v>6</v>
      </c>
      <c r="B7" s="3" t="s">
        <v>49</v>
      </c>
      <c r="C7" s="3" t="s">
        <v>21</v>
      </c>
      <c r="D7" s="3" t="s">
        <v>29</v>
      </c>
      <c r="E7" s="3" t="s">
        <v>30</v>
      </c>
      <c r="F7" s="3" t="s">
        <v>24</v>
      </c>
      <c r="G7" s="3" t="s">
        <v>50</v>
      </c>
      <c r="H7" s="3" t="s">
        <v>33</v>
      </c>
      <c r="I7" s="3" t="s">
        <v>34</v>
      </c>
      <c r="J7" s="6">
        <v>2024</v>
      </c>
      <c r="K7" s="3">
        <v>19795.71</v>
      </c>
      <c r="L7" s="3">
        <v>676088</v>
      </c>
      <c r="M7" s="3">
        <v>7311</v>
      </c>
      <c r="N7" s="3">
        <v>224</v>
      </c>
      <c r="O7" s="3">
        <v>13703.35</v>
      </c>
      <c r="P7" s="9">
        <f t="shared" si="2"/>
        <v>1.081368105927039</v>
      </c>
      <c r="Q7" s="11">
        <f t="shared" si="3"/>
        <v>1.874346874572562</v>
      </c>
      <c r="R7" s="13">
        <f t="shared" si="4"/>
        <v>61.175669642857144</v>
      </c>
      <c r="S7" s="4">
        <f t="shared" si="0"/>
        <v>1.4445890968266883</v>
      </c>
      <c r="T7" s="19" t="str">
        <f t="shared" si="1"/>
        <v>🔴 Low</v>
      </c>
    </row>
    <row r="8" spans="1:20" x14ac:dyDescent="0.3">
      <c r="A8" s="16">
        <v>7</v>
      </c>
      <c r="B8" s="1" t="s">
        <v>51</v>
      </c>
      <c r="C8" s="1" t="s">
        <v>40</v>
      </c>
      <c r="D8" s="1" t="s">
        <v>46</v>
      </c>
      <c r="E8" s="1" t="s">
        <v>42</v>
      </c>
      <c r="F8" s="1" t="s">
        <v>47</v>
      </c>
      <c r="G8" s="1" t="s">
        <v>50</v>
      </c>
      <c r="H8" s="1" t="s">
        <v>52</v>
      </c>
      <c r="I8" s="1" t="s">
        <v>38</v>
      </c>
      <c r="J8" s="5">
        <v>2023</v>
      </c>
      <c r="K8" s="1">
        <v>4614.17</v>
      </c>
      <c r="L8" s="1">
        <v>599731</v>
      </c>
      <c r="M8" s="1">
        <v>11454</v>
      </c>
      <c r="N8" s="1">
        <v>908</v>
      </c>
      <c r="O8" s="1">
        <v>3535.22</v>
      </c>
      <c r="P8" s="8">
        <f t="shared" si="2"/>
        <v>1.9098562522197451</v>
      </c>
      <c r="Q8" s="10">
        <f t="shared" si="3"/>
        <v>0.30864501484197659</v>
      </c>
      <c r="R8" s="12">
        <f t="shared" si="4"/>
        <v>3.8934140969162994</v>
      </c>
      <c r="S8" s="2">
        <f t="shared" si="0"/>
        <v>1.3052002421348601</v>
      </c>
      <c r="T8" s="18" t="str">
        <f t="shared" si="1"/>
        <v>🟡 Mid</v>
      </c>
    </row>
    <row r="9" spans="1:20" x14ac:dyDescent="0.3">
      <c r="A9" s="17">
        <v>8</v>
      </c>
      <c r="B9" s="3" t="s">
        <v>53</v>
      </c>
      <c r="C9" s="3" t="s">
        <v>21</v>
      </c>
      <c r="D9" s="3" t="s">
        <v>46</v>
      </c>
      <c r="E9" s="3" t="s">
        <v>23</v>
      </c>
      <c r="F9" s="3" t="s">
        <v>24</v>
      </c>
      <c r="G9" s="3" t="s">
        <v>25</v>
      </c>
      <c r="H9" s="3" t="s">
        <v>54</v>
      </c>
      <c r="I9" s="3" t="s">
        <v>45</v>
      </c>
      <c r="J9" s="6">
        <v>2024</v>
      </c>
      <c r="K9" s="3">
        <v>15066.77</v>
      </c>
      <c r="L9" s="3">
        <v>454245</v>
      </c>
      <c r="M9" s="3">
        <v>1795</v>
      </c>
      <c r="N9" s="3">
        <v>168</v>
      </c>
      <c r="O9" s="3">
        <v>11567.49</v>
      </c>
      <c r="P9" s="9">
        <f t="shared" si="2"/>
        <v>0.39516120155422735</v>
      </c>
      <c r="Q9" s="11">
        <f t="shared" si="3"/>
        <v>6.4442841225626744</v>
      </c>
      <c r="R9" s="13">
        <f t="shared" si="4"/>
        <v>68.854107142857146</v>
      </c>
      <c r="S9" s="4">
        <f t="shared" si="0"/>
        <v>1.302509878979796</v>
      </c>
      <c r="T9" s="19" t="str">
        <f t="shared" si="1"/>
        <v>🔴 Low</v>
      </c>
    </row>
    <row r="10" spans="1:20" x14ac:dyDescent="0.3">
      <c r="A10" s="16">
        <v>9</v>
      </c>
      <c r="B10" s="1" t="s">
        <v>55</v>
      </c>
      <c r="C10" s="1" t="s">
        <v>36</v>
      </c>
      <c r="D10" s="1" t="s">
        <v>29</v>
      </c>
      <c r="E10" s="1" t="s">
        <v>56</v>
      </c>
      <c r="F10" s="1" t="s">
        <v>24</v>
      </c>
      <c r="G10" s="1" t="s">
        <v>57</v>
      </c>
      <c r="H10" s="1" t="s">
        <v>58</v>
      </c>
      <c r="I10" s="1" t="s">
        <v>27</v>
      </c>
      <c r="J10" s="5">
        <v>2023</v>
      </c>
      <c r="K10" s="1">
        <v>12735.2</v>
      </c>
      <c r="L10" s="1">
        <v>718536</v>
      </c>
      <c r="M10" s="1">
        <v>18969</v>
      </c>
      <c r="N10" s="1">
        <v>406</v>
      </c>
      <c r="O10" s="1">
        <v>12969.16</v>
      </c>
      <c r="P10" s="8">
        <f t="shared" si="2"/>
        <v>2.639951234176158</v>
      </c>
      <c r="Q10" s="10">
        <f t="shared" si="3"/>
        <v>0.68370288365227472</v>
      </c>
      <c r="R10" s="12">
        <f t="shared" si="4"/>
        <v>31.943743842364533</v>
      </c>
      <c r="S10" s="2">
        <f t="shared" si="0"/>
        <v>0.98196028115930412</v>
      </c>
      <c r="T10" s="18" t="str">
        <f t="shared" si="1"/>
        <v>🟡 Mid</v>
      </c>
    </row>
    <row r="11" spans="1:20" x14ac:dyDescent="0.3">
      <c r="A11" s="17">
        <v>10</v>
      </c>
      <c r="B11" s="3" t="s">
        <v>59</v>
      </c>
      <c r="C11" s="3" t="s">
        <v>21</v>
      </c>
      <c r="D11" s="3" t="s">
        <v>29</v>
      </c>
      <c r="E11" s="3" t="s">
        <v>42</v>
      </c>
      <c r="F11" s="3" t="s">
        <v>31</v>
      </c>
      <c r="G11" s="3" t="s">
        <v>57</v>
      </c>
      <c r="H11" s="3" t="s">
        <v>44</v>
      </c>
      <c r="I11" s="3" t="s">
        <v>45</v>
      </c>
      <c r="J11" s="6">
        <v>2024</v>
      </c>
      <c r="K11" s="3">
        <v>15487.68</v>
      </c>
      <c r="L11" s="3">
        <v>361699</v>
      </c>
      <c r="M11" s="3">
        <v>2839</v>
      </c>
      <c r="N11" s="3">
        <v>37</v>
      </c>
      <c r="O11" s="3">
        <v>12120.68</v>
      </c>
      <c r="P11" s="9">
        <f t="shared" si="2"/>
        <v>0.78490678713515927</v>
      </c>
      <c r="Q11" s="11">
        <f t="shared" si="3"/>
        <v>4.2693483620993309</v>
      </c>
      <c r="R11" s="13">
        <f t="shared" si="4"/>
        <v>327.58594594594598</v>
      </c>
      <c r="S11" s="4">
        <f t="shared" si="0"/>
        <v>1.2777896949676091</v>
      </c>
      <c r="T11" s="19" t="str">
        <f t="shared" si="1"/>
        <v>🔴 Low</v>
      </c>
    </row>
    <row r="12" spans="1:20" x14ac:dyDescent="0.3">
      <c r="A12" s="16">
        <v>11</v>
      </c>
      <c r="B12" s="1" t="s">
        <v>60</v>
      </c>
      <c r="C12" s="1" t="s">
        <v>40</v>
      </c>
      <c r="D12" s="1" t="s">
        <v>13</v>
      </c>
      <c r="E12" s="1" t="s">
        <v>61</v>
      </c>
      <c r="F12" s="1" t="s">
        <v>24</v>
      </c>
      <c r="G12" s="1" t="s">
        <v>32</v>
      </c>
      <c r="H12" s="1" t="s">
        <v>58</v>
      </c>
      <c r="I12" s="1" t="s">
        <v>27</v>
      </c>
      <c r="J12" s="5">
        <v>2024</v>
      </c>
      <c r="K12" s="1">
        <v>16912.55</v>
      </c>
      <c r="L12" s="1">
        <v>537323</v>
      </c>
      <c r="M12" s="1">
        <v>7398</v>
      </c>
      <c r="N12" s="1">
        <v>764</v>
      </c>
      <c r="O12" s="1">
        <v>13978.89</v>
      </c>
      <c r="P12" s="8">
        <f t="shared" si="2"/>
        <v>1.3768254848573391</v>
      </c>
      <c r="Q12" s="10">
        <f t="shared" si="3"/>
        <v>1.8895498783454987</v>
      </c>
      <c r="R12" s="12">
        <f t="shared" si="4"/>
        <v>18.296976439790576</v>
      </c>
      <c r="S12" s="2">
        <f t="shared" si="0"/>
        <v>1.2098635871660768</v>
      </c>
      <c r="T12" s="18" t="str">
        <f t="shared" si="1"/>
        <v>🔴 Low</v>
      </c>
    </row>
    <row r="13" spans="1:20" x14ac:dyDescent="0.3">
      <c r="A13" s="17">
        <v>12</v>
      </c>
      <c r="B13" s="3" t="s">
        <v>62</v>
      </c>
      <c r="C13" s="3" t="s">
        <v>21</v>
      </c>
      <c r="D13" s="3" t="s">
        <v>29</v>
      </c>
      <c r="E13" s="3" t="s">
        <v>23</v>
      </c>
      <c r="F13" s="3" t="s">
        <v>47</v>
      </c>
      <c r="G13" s="3" t="s">
        <v>57</v>
      </c>
      <c r="H13" s="3" t="s">
        <v>58</v>
      </c>
      <c r="I13" s="3" t="s">
        <v>27</v>
      </c>
      <c r="J13" s="6">
        <v>2024</v>
      </c>
      <c r="K13" s="3">
        <v>17635.080000000002</v>
      </c>
      <c r="L13" s="3">
        <v>327451</v>
      </c>
      <c r="M13" s="3">
        <v>1695</v>
      </c>
      <c r="N13" s="3">
        <v>29</v>
      </c>
      <c r="O13" s="3">
        <v>12365.12</v>
      </c>
      <c r="P13" s="9">
        <f t="shared" si="2"/>
        <v>0.51763469954283237</v>
      </c>
      <c r="Q13" s="11">
        <f t="shared" si="3"/>
        <v>7.2950560471976402</v>
      </c>
      <c r="R13" s="13">
        <f t="shared" si="4"/>
        <v>426.38344827586212</v>
      </c>
      <c r="S13" s="4">
        <f t="shared" si="0"/>
        <v>1.4261956212313347</v>
      </c>
      <c r="T13" s="19" t="str">
        <f t="shared" si="1"/>
        <v>🔴 Low</v>
      </c>
    </row>
    <row r="14" spans="1:20" x14ac:dyDescent="0.3">
      <c r="A14" s="16">
        <v>13</v>
      </c>
      <c r="B14" s="1" t="s">
        <v>20</v>
      </c>
      <c r="C14" s="1" t="s">
        <v>21</v>
      </c>
      <c r="D14" s="1" t="s">
        <v>22</v>
      </c>
      <c r="E14" s="1" t="s">
        <v>56</v>
      </c>
      <c r="F14" s="1" t="s">
        <v>24</v>
      </c>
      <c r="G14" s="1" t="s">
        <v>32</v>
      </c>
      <c r="H14" s="1" t="s">
        <v>26</v>
      </c>
      <c r="I14" s="1" t="s">
        <v>27</v>
      </c>
      <c r="J14" s="5">
        <v>2023</v>
      </c>
      <c r="K14" s="1">
        <v>13365.14</v>
      </c>
      <c r="L14" s="1">
        <v>581510</v>
      </c>
      <c r="M14" s="1">
        <v>5880</v>
      </c>
      <c r="N14" s="1">
        <v>82</v>
      </c>
      <c r="O14" s="1">
        <v>13432.4</v>
      </c>
      <c r="P14" s="8">
        <f t="shared" si="2"/>
        <v>1.0111605991298516</v>
      </c>
      <c r="Q14" s="10">
        <f t="shared" si="3"/>
        <v>2.284421768707483</v>
      </c>
      <c r="R14" s="12">
        <f t="shared" si="4"/>
        <v>163.80975609756098</v>
      </c>
      <c r="S14" s="2">
        <f t="shared" si="0"/>
        <v>0.99499270420773656</v>
      </c>
      <c r="T14" s="18" t="str">
        <f t="shared" si="1"/>
        <v>🔴 Low</v>
      </c>
    </row>
    <row r="15" spans="1:20" x14ac:dyDescent="0.3">
      <c r="A15" s="17">
        <v>14</v>
      </c>
      <c r="B15" s="3" t="s">
        <v>63</v>
      </c>
      <c r="C15" s="3" t="s">
        <v>21</v>
      </c>
      <c r="D15" s="3" t="s">
        <v>13</v>
      </c>
      <c r="E15" s="3" t="s">
        <v>56</v>
      </c>
      <c r="F15" s="3" t="s">
        <v>31</v>
      </c>
      <c r="G15" s="3" t="s">
        <v>43</v>
      </c>
      <c r="H15" s="3" t="s">
        <v>48</v>
      </c>
      <c r="I15" s="3" t="s">
        <v>34</v>
      </c>
      <c r="J15" s="6">
        <v>2024</v>
      </c>
      <c r="K15" s="3">
        <v>2859.58</v>
      </c>
      <c r="L15" s="3">
        <v>240612</v>
      </c>
      <c r="M15" s="3">
        <v>2953</v>
      </c>
      <c r="N15" s="3">
        <v>160</v>
      </c>
      <c r="O15" s="3">
        <v>1741.01</v>
      </c>
      <c r="P15" s="9">
        <f t="shared" si="2"/>
        <v>1.2272870846009343</v>
      </c>
      <c r="Q15" s="11">
        <f t="shared" si="3"/>
        <v>0.58957331527260415</v>
      </c>
      <c r="R15" s="13">
        <f t="shared" si="4"/>
        <v>10.8813125</v>
      </c>
      <c r="S15" s="4">
        <f t="shared" si="0"/>
        <v>1.6424833860804935</v>
      </c>
      <c r="T15" s="19" t="str">
        <f t="shared" si="1"/>
        <v>🔴 Low</v>
      </c>
    </row>
    <row r="16" spans="1:20" x14ac:dyDescent="0.3">
      <c r="A16" s="16">
        <v>15</v>
      </c>
      <c r="B16" s="1" t="s">
        <v>64</v>
      </c>
      <c r="C16" s="1" t="s">
        <v>21</v>
      </c>
      <c r="D16" s="1" t="s">
        <v>29</v>
      </c>
      <c r="E16" s="1" t="s">
        <v>30</v>
      </c>
      <c r="F16" s="1" t="s">
        <v>24</v>
      </c>
      <c r="G16" s="1" t="s">
        <v>57</v>
      </c>
      <c r="H16" s="1" t="s">
        <v>54</v>
      </c>
      <c r="I16" s="1" t="s">
        <v>45</v>
      </c>
      <c r="J16" s="5">
        <v>2023</v>
      </c>
      <c r="K16" s="1">
        <v>4964.3599999999997</v>
      </c>
      <c r="L16" s="1">
        <v>37938</v>
      </c>
      <c r="M16" s="1">
        <v>311</v>
      </c>
      <c r="N16" s="1">
        <v>5</v>
      </c>
      <c r="O16" s="1">
        <v>4373.46</v>
      </c>
      <c r="P16" s="8">
        <f t="shared" si="2"/>
        <v>0.81975855342927939</v>
      </c>
      <c r="Q16" s="10">
        <f t="shared" si="3"/>
        <v>14.062572347266881</v>
      </c>
      <c r="R16" s="12">
        <f t="shared" si="4"/>
        <v>874.69200000000001</v>
      </c>
      <c r="S16" s="2">
        <f t="shared" si="0"/>
        <v>1.1351104160092924</v>
      </c>
      <c r="T16" s="18" t="str">
        <f t="shared" si="1"/>
        <v>🔴 Low</v>
      </c>
    </row>
    <row r="17" spans="1:20" x14ac:dyDescent="0.3">
      <c r="A17" s="17">
        <v>16</v>
      </c>
      <c r="B17" s="3" t="s">
        <v>65</v>
      </c>
      <c r="C17" s="3" t="s">
        <v>36</v>
      </c>
      <c r="D17" s="3" t="s">
        <v>29</v>
      </c>
      <c r="E17" s="3" t="s">
        <v>61</v>
      </c>
      <c r="F17" s="3" t="s">
        <v>47</v>
      </c>
      <c r="G17" s="3" t="s">
        <v>25</v>
      </c>
      <c r="H17" s="3" t="s">
        <v>48</v>
      </c>
      <c r="I17" s="3" t="s">
        <v>34</v>
      </c>
      <c r="J17" s="6">
        <v>2024</v>
      </c>
      <c r="K17" s="3">
        <v>4212.99</v>
      </c>
      <c r="L17" s="3">
        <v>106639</v>
      </c>
      <c r="M17" s="3">
        <v>2828</v>
      </c>
      <c r="N17" s="3">
        <v>84</v>
      </c>
      <c r="O17" s="3">
        <v>3154.71</v>
      </c>
      <c r="P17" s="9">
        <f t="shared" si="2"/>
        <v>2.6519378463789045</v>
      </c>
      <c r="Q17" s="11">
        <f t="shared" si="3"/>
        <v>1.1155268741159829</v>
      </c>
      <c r="R17" s="13">
        <f t="shared" si="4"/>
        <v>37.556071428571428</v>
      </c>
      <c r="S17" s="4">
        <f t="shared" si="0"/>
        <v>1.335460311724374</v>
      </c>
      <c r="T17" s="19" t="str">
        <f t="shared" si="1"/>
        <v>🟡 Mid</v>
      </c>
    </row>
    <row r="18" spans="1:20" x14ac:dyDescent="0.3">
      <c r="A18" s="16">
        <v>17</v>
      </c>
      <c r="B18" s="1" t="s">
        <v>66</v>
      </c>
      <c r="C18" s="1" t="s">
        <v>40</v>
      </c>
      <c r="D18" s="1" t="s">
        <v>22</v>
      </c>
      <c r="E18" s="1" t="s">
        <v>42</v>
      </c>
      <c r="F18" s="1" t="s">
        <v>24</v>
      </c>
      <c r="G18" s="1" t="s">
        <v>50</v>
      </c>
      <c r="H18" s="1" t="s">
        <v>54</v>
      </c>
      <c r="I18" s="1" t="s">
        <v>45</v>
      </c>
      <c r="J18" s="5">
        <v>2024</v>
      </c>
      <c r="K18" s="1">
        <v>16111.55</v>
      </c>
      <c r="L18" s="1">
        <v>119576</v>
      </c>
      <c r="M18" s="1">
        <v>1916</v>
      </c>
      <c r="N18" s="1">
        <v>22</v>
      </c>
      <c r="O18" s="1">
        <v>12521.74</v>
      </c>
      <c r="P18" s="8">
        <f t="shared" si="2"/>
        <v>1.6023282263999465</v>
      </c>
      <c r="Q18" s="10">
        <f t="shared" si="3"/>
        <v>6.5353549060542795</v>
      </c>
      <c r="R18" s="12">
        <f t="shared" si="4"/>
        <v>569.16999999999996</v>
      </c>
      <c r="S18" s="2">
        <f t="shared" si="0"/>
        <v>1.2866861953690141</v>
      </c>
      <c r="T18" s="18" t="str">
        <f t="shared" si="1"/>
        <v>🟡 Mid</v>
      </c>
    </row>
    <row r="19" spans="1:20" x14ac:dyDescent="0.3">
      <c r="A19" s="17">
        <v>18</v>
      </c>
      <c r="B19" s="3" t="s">
        <v>67</v>
      </c>
      <c r="C19" s="3" t="s">
        <v>40</v>
      </c>
      <c r="D19" s="3" t="s">
        <v>46</v>
      </c>
      <c r="E19" s="3" t="s">
        <v>42</v>
      </c>
      <c r="F19" s="3" t="s">
        <v>47</v>
      </c>
      <c r="G19" s="3" t="s">
        <v>32</v>
      </c>
      <c r="H19" s="3" t="s">
        <v>58</v>
      </c>
      <c r="I19" s="3" t="s">
        <v>27</v>
      </c>
      <c r="J19" s="6">
        <v>2023</v>
      </c>
      <c r="K19" s="3">
        <v>13216.83</v>
      </c>
      <c r="L19" s="3">
        <v>571847</v>
      </c>
      <c r="M19" s="3">
        <v>11006</v>
      </c>
      <c r="N19" s="3">
        <v>992</v>
      </c>
      <c r="O19" s="3">
        <v>13309.06</v>
      </c>
      <c r="P19" s="9">
        <f t="shared" si="2"/>
        <v>1.9246406818607076</v>
      </c>
      <c r="Q19" s="11">
        <f t="shared" si="3"/>
        <v>1.2092549518444484</v>
      </c>
      <c r="R19" s="13">
        <f t="shared" si="4"/>
        <v>13.416391129032258</v>
      </c>
      <c r="S19" s="4">
        <f t="shared" si="0"/>
        <v>0.99307013417927337</v>
      </c>
      <c r="T19" s="19" t="str">
        <f t="shared" si="1"/>
        <v>🟡 Mid</v>
      </c>
    </row>
    <row r="20" spans="1:20" x14ac:dyDescent="0.3">
      <c r="A20" s="16">
        <v>19</v>
      </c>
      <c r="B20" s="1" t="s">
        <v>55</v>
      </c>
      <c r="C20" s="1" t="s">
        <v>36</v>
      </c>
      <c r="D20" s="1" t="s">
        <v>41</v>
      </c>
      <c r="E20" s="1" t="s">
        <v>56</v>
      </c>
      <c r="F20" s="1" t="s">
        <v>47</v>
      </c>
      <c r="G20" s="1" t="s">
        <v>25</v>
      </c>
      <c r="H20" s="1" t="s">
        <v>33</v>
      </c>
      <c r="I20" s="1" t="s">
        <v>34</v>
      </c>
      <c r="J20" s="5">
        <v>2023</v>
      </c>
      <c r="K20" s="1">
        <v>3710.42</v>
      </c>
      <c r="L20" s="1">
        <v>7260</v>
      </c>
      <c r="M20" s="1">
        <v>231</v>
      </c>
      <c r="N20" s="1">
        <v>28</v>
      </c>
      <c r="O20" s="1">
        <v>2935.33</v>
      </c>
      <c r="P20" s="8">
        <f t="shared" si="2"/>
        <v>3.1818181818181817</v>
      </c>
      <c r="Q20" s="10">
        <f t="shared" si="3"/>
        <v>12.707056277056276</v>
      </c>
      <c r="R20" s="12">
        <f t="shared" si="4"/>
        <v>104.83321428571428</v>
      </c>
      <c r="S20" s="2">
        <f t="shared" si="0"/>
        <v>1.2640554895020322</v>
      </c>
      <c r="T20" s="18" t="str">
        <f t="shared" si="1"/>
        <v>🟢 High</v>
      </c>
    </row>
    <row r="21" spans="1:20" x14ac:dyDescent="0.3">
      <c r="A21" s="17">
        <v>20</v>
      </c>
      <c r="B21" s="3" t="s">
        <v>67</v>
      </c>
      <c r="C21" s="3" t="s">
        <v>40</v>
      </c>
      <c r="D21" s="3" t="s">
        <v>46</v>
      </c>
      <c r="E21" s="3" t="s">
        <v>30</v>
      </c>
      <c r="F21" s="3" t="s">
        <v>47</v>
      </c>
      <c r="G21" s="3" t="s">
        <v>25</v>
      </c>
      <c r="H21" s="3" t="s">
        <v>68</v>
      </c>
      <c r="I21" s="3" t="s">
        <v>27</v>
      </c>
      <c r="J21" s="6">
        <v>2023</v>
      </c>
      <c r="K21" s="3">
        <v>15085.52</v>
      </c>
      <c r="L21" s="3">
        <v>64942</v>
      </c>
      <c r="M21" s="3">
        <v>1015</v>
      </c>
      <c r="N21" s="3">
        <v>43</v>
      </c>
      <c r="O21" s="3">
        <v>12072.21</v>
      </c>
      <c r="P21" s="9">
        <f t="shared" si="2"/>
        <v>1.5629330787471898</v>
      </c>
      <c r="Q21" s="11">
        <f t="shared" si="3"/>
        <v>11.893802955665024</v>
      </c>
      <c r="R21" s="13">
        <f t="shared" si="4"/>
        <v>280.74906976744182</v>
      </c>
      <c r="S21" s="4">
        <f t="shared" si="0"/>
        <v>1.2496071556077968</v>
      </c>
      <c r="T21" s="19" t="str">
        <f t="shared" si="1"/>
        <v>🟡 Mid</v>
      </c>
    </row>
    <row r="22" spans="1:20" x14ac:dyDescent="0.3">
      <c r="A22" s="16">
        <v>21</v>
      </c>
      <c r="B22" s="1" t="s">
        <v>69</v>
      </c>
      <c r="C22" s="1" t="s">
        <v>21</v>
      </c>
      <c r="D22" s="1" t="s">
        <v>22</v>
      </c>
      <c r="E22" s="1" t="s">
        <v>61</v>
      </c>
      <c r="F22" s="1" t="s">
        <v>24</v>
      </c>
      <c r="G22" s="1" t="s">
        <v>25</v>
      </c>
      <c r="H22" s="1" t="s">
        <v>58</v>
      </c>
      <c r="I22" s="1" t="s">
        <v>27</v>
      </c>
      <c r="J22" s="5">
        <v>2023</v>
      </c>
      <c r="K22" s="1">
        <v>13666.64</v>
      </c>
      <c r="L22" s="1">
        <v>251629</v>
      </c>
      <c r="M22" s="1">
        <v>125</v>
      </c>
      <c r="N22" s="1">
        <v>1</v>
      </c>
      <c r="O22" s="1">
        <v>11522.97</v>
      </c>
      <c r="P22" s="8">
        <f t="shared" si="2"/>
        <v>4.967630916945185E-2</v>
      </c>
      <c r="Q22" s="10">
        <f t="shared" si="3"/>
        <v>92.183759999999992</v>
      </c>
      <c r="R22" s="12">
        <f t="shared" si="4"/>
        <v>11522.97</v>
      </c>
      <c r="S22" s="2">
        <f t="shared" si="0"/>
        <v>1.1860345032574067</v>
      </c>
      <c r="T22" s="18" t="str">
        <f t="shared" si="1"/>
        <v>🔴 Low</v>
      </c>
    </row>
    <row r="23" spans="1:20" x14ac:dyDescent="0.3">
      <c r="A23" s="17">
        <v>22</v>
      </c>
      <c r="B23" s="3" t="s">
        <v>70</v>
      </c>
      <c r="C23" s="3" t="s">
        <v>36</v>
      </c>
      <c r="D23" s="3" t="s">
        <v>41</v>
      </c>
      <c r="E23" s="3" t="s">
        <v>61</v>
      </c>
      <c r="F23" s="3" t="s">
        <v>31</v>
      </c>
      <c r="G23" s="3" t="s">
        <v>32</v>
      </c>
      <c r="H23" s="3" t="s">
        <v>37</v>
      </c>
      <c r="I23" s="3" t="s">
        <v>38</v>
      </c>
      <c r="J23" s="6">
        <v>2024</v>
      </c>
      <c r="K23" s="3">
        <v>4483.05</v>
      </c>
      <c r="L23" s="3">
        <v>755981</v>
      </c>
      <c r="M23" s="3">
        <v>26288</v>
      </c>
      <c r="N23" s="3">
        <v>2238</v>
      </c>
      <c r="O23" s="3">
        <v>3189.95</v>
      </c>
      <c r="P23" s="9">
        <f t="shared" si="2"/>
        <v>3.477336070615531</v>
      </c>
      <c r="Q23" s="11">
        <f t="shared" si="3"/>
        <v>0.1213462416311625</v>
      </c>
      <c r="R23" s="13">
        <f t="shared" si="4"/>
        <v>1.4253574620196603</v>
      </c>
      <c r="S23" s="4">
        <f t="shared" si="0"/>
        <v>1.4053668552798635</v>
      </c>
      <c r="T23" s="19" t="str">
        <f t="shared" si="1"/>
        <v>🟢 High</v>
      </c>
    </row>
    <row r="24" spans="1:20" x14ac:dyDescent="0.3">
      <c r="A24" s="16">
        <v>23</v>
      </c>
      <c r="B24" s="1" t="s">
        <v>71</v>
      </c>
      <c r="C24" s="1" t="s">
        <v>36</v>
      </c>
      <c r="D24" s="1" t="s">
        <v>41</v>
      </c>
      <c r="E24" s="1" t="s">
        <v>23</v>
      </c>
      <c r="F24" s="1" t="s">
        <v>24</v>
      </c>
      <c r="G24" s="1" t="s">
        <v>57</v>
      </c>
      <c r="H24" s="1" t="s">
        <v>48</v>
      </c>
      <c r="I24" s="1" t="s">
        <v>34</v>
      </c>
      <c r="J24" s="5">
        <v>2023</v>
      </c>
      <c r="K24" s="1">
        <v>1928.58</v>
      </c>
      <c r="L24" s="1">
        <v>228508</v>
      </c>
      <c r="M24" s="1">
        <v>5789</v>
      </c>
      <c r="N24" s="1">
        <v>508</v>
      </c>
      <c r="O24" s="1">
        <v>1212.8699999999999</v>
      </c>
      <c r="P24" s="8">
        <f t="shared" si="2"/>
        <v>2.5333905158681533</v>
      </c>
      <c r="Q24" s="10">
        <f t="shared" si="3"/>
        <v>0.20951286923475554</v>
      </c>
      <c r="R24" s="12">
        <f t="shared" si="4"/>
        <v>2.38753937007874</v>
      </c>
      <c r="S24" s="2">
        <f t="shared" si="0"/>
        <v>1.5900962180612928</v>
      </c>
      <c r="T24" s="18" t="str">
        <f t="shared" si="1"/>
        <v>🟡 Mid</v>
      </c>
    </row>
    <row r="25" spans="1:20" x14ac:dyDescent="0.3">
      <c r="A25" s="17">
        <v>24</v>
      </c>
      <c r="B25" s="3" t="s">
        <v>72</v>
      </c>
      <c r="C25" s="3" t="s">
        <v>36</v>
      </c>
      <c r="D25" s="3" t="s">
        <v>13</v>
      </c>
      <c r="E25" s="3" t="s">
        <v>30</v>
      </c>
      <c r="F25" s="3" t="s">
        <v>47</v>
      </c>
      <c r="G25" s="3" t="s">
        <v>32</v>
      </c>
      <c r="H25" s="3" t="s">
        <v>54</v>
      </c>
      <c r="I25" s="3" t="s">
        <v>45</v>
      </c>
      <c r="J25" s="6">
        <v>2024</v>
      </c>
      <c r="K25" s="3">
        <v>12427.72</v>
      </c>
      <c r="L25" s="3">
        <v>690743</v>
      </c>
      <c r="M25" s="3">
        <v>19272</v>
      </c>
      <c r="N25" s="3">
        <v>1677</v>
      </c>
      <c r="O25" s="3">
        <v>10942.64</v>
      </c>
      <c r="P25" s="9">
        <f t="shared" si="2"/>
        <v>2.7900391317754942</v>
      </c>
      <c r="Q25" s="11">
        <f t="shared" si="3"/>
        <v>0.56779991697799914</v>
      </c>
      <c r="R25" s="13">
        <f t="shared" si="4"/>
        <v>6.5251282051282047</v>
      </c>
      <c r="S25" s="4">
        <f t="shared" si="0"/>
        <v>1.1357149645789315</v>
      </c>
      <c r="T25" s="19" t="str">
        <f t="shared" si="1"/>
        <v>🟡 Mid</v>
      </c>
    </row>
    <row r="26" spans="1:20" x14ac:dyDescent="0.3">
      <c r="A26" s="16">
        <v>25</v>
      </c>
      <c r="B26" s="1" t="s">
        <v>73</v>
      </c>
      <c r="C26" s="1" t="s">
        <v>21</v>
      </c>
      <c r="D26" s="1" t="s">
        <v>22</v>
      </c>
      <c r="E26" s="1" t="s">
        <v>30</v>
      </c>
      <c r="F26" s="1" t="s">
        <v>47</v>
      </c>
      <c r="G26" s="1" t="s">
        <v>57</v>
      </c>
      <c r="H26" s="1" t="s">
        <v>58</v>
      </c>
      <c r="I26" s="1" t="s">
        <v>27</v>
      </c>
      <c r="J26" s="5">
        <v>2023</v>
      </c>
      <c r="K26" s="1">
        <v>5810.79</v>
      </c>
      <c r="L26" s="1">
        <v>639210</v>
      </c>
      <c r="M26" s="1">
        <v>5191</v>
      </c>
      <c r="N26" s="1">
        <v>79</v>
      </c>
      <c r="O26" s="1">
        <v>5568.03</v>
      </c>
      <c r="P26" s="8">
        <f t="shared" si="2"/>
        <v>0.81209618122369798</v>
      </c>
      <c r="Q26" s="10">
        <f t="shared" si="3"/>
        <v>1.0726314775573107</v>
      </c>
      <c r="R26" s="12">
        <f t="shared" si="4"/>
        <v>70.481392405063289</v>
      </c>
      <c r="S26" s="2">
        <f t="shared" si="0"/>
        <v>1.0435989030231518</v>
      </c>
      <c r="T26" s="18" t="str">
        <f t="shared" si="1"/>
        <v>🔴 Low</v>
      </c>
    </row>
    <row r="27" spans="1:20" x14ac:dyDescent="0.3">
      <c r="A27" s="17">
        <v>26</v>
      </c>
      <c r="B27" s="3" t="s">
        <v>74</v>
      </c>
      <c r="C27" s="3" t="s">
        <v>21</v>
      </c>
      <c r="D27" s="3" t="s">
        <v>13</v>
      </c>
      <c r="E27" s="3" t="s">
        <v>42</v>
      </c>
      <c r="F27" s="3" t="s">
        <v>24</v>
      </c>
      <c r="G27" s="3" t="s">
        <v>50</v>
      </c>
      <c r="H27" s="3" t="s">
        <v>52</v>
      </c>
      <c r="I27" s="3" t="s">
        <v>38</v>
      </c>
      <c r="J27" s="6">
        <v>2023</v>
      </c>
      <c r="K27" s="3">
        <v>569.14</v>
      </c>
      <c r="L27" s="3">
        <v>142174</v>
      </c>
      <c r="M27" s="3">
        <v>1626</v>
      </c>
      <c r="N27" s="3">
        <v>153</v>
      </c>
      <c r="O27" s="3">
        <v>404.1</v>
      </c>
      <c r="P27" s="9">
        <f t="shared" si="2"/>
        <v>1.1436690252788837</v>
      </c>
      <c r="Q27" s="11">
        <f t="shared" si="3"/>
        <v>0.24852398523985242</v>
      </c>
      <c r="R27" s="13">
        <f t="shared" si="4"/>
        <v>2.6411764705882352</v>
      </c>
      <c r="S27" s="4">
        <f t="shared" si="0"/>
        <v>1.4084137589705517</v>
      </c>
      <c r="T27" s="19" t="str">
        <f t="shared" si="1"/>
        <v>🔴 Low</v>
      </c>
    </row>
    <row r="28" spans="1:20" x14ac:dyDescent="0.3">
      <c r="A28" s="16">
        <v>27</v>
      </c>
      <c r="B28" s="1" t="s">
        <v>74</v>
      </c>
      <c r="C28" s="1" t="s">
        <v>21</v>
      </c>
      <c r="D28" s="1" t="s">
        <v>29</v>
      </c>
      <c r="E28" s="1" t="s">
        <v>56</v>
      </c>
      <c r="F28" s="1" t="s">
        <v>31</v>
      </c>
      <c r="G28" s="1" t="s">
        <v>57</v>
      </c>
      <c r="H28" s="1" t="s">
        <v>58</v>
      </c>
      <c r="I28" s="1" t="s">
        <v>27</v>
      </c>
      <c r="J28" s="5">
        <v>2023</v>
      </c>
      <c r="K28" s="1">
        <v>18928.490000000002</v>
      </c>
      <c r="L28" s="1">
        <v>729586</v>
      </c>
      <c r="M28" s="1">
        <v>8879</v>
      </c>
      <c r="N28" s="1">
        <v>311</v>
      </c>
      <c r="O28" s="1">
        <v>15988.03</v>
      </c>
      <c r="P28" s="8">
        <f t="shared" si="2"/>
        <v>1.2169915541142511</v>
      </c>
      <c r="Q28" s="10">
        <f t="shared" si="3"/>
        <v>1.8006566054735895</v>
      </c>
      <c r="R28" s="12">
        <f t="shared" si="4"/>
        <v>51.408456591639876</v>
      </c>
      <c r="S28" s="2">
        <f t="shared" si="0"/>
        <v>1.1839163424136683</v>
      </c>
      <c r="T28" s="18" t="str">
        <f t="shared" si="1"/>
        <v>🔴 Low</v>
      </c>
    </row>
    <row r="29" spans="1:20" x14ac:dyDescent="0.3">
      <c r="A29" s="17">
        <v>28</v>
      </c>
      <c r="B29" s="3" t="s">
        <v>75</v>
      </c>
      <c r="C29" s="3" t="s">
        <v>36</v>
      </c>
      <c r="D29" s="3" t="s">
        <v>46</v>
      </c>
      <c r="E29" s="3" t="s">
        <v>42</v>
      </c>
      <c r="F29" s="3" t="s">
        <v>47</v>
      </c>
      <c r="G29" s="3" t="s">
        <v>43</v>
      </c>
      <c r="H29" s="3" t="s">
        <v>68</v>
      </c>
      <c r="I29" s="3" t="s">
        <v>27</v>
      </c>
      <c r="J29" s="6">
        <v>2024</v>
      </c>
      <c r="K29" s="3">
        <v>4596.49</v>
      </c>
      <c r="L29" s="3">
        <v>266650</v>
      </c>
      <c r="M29" s="3">
        <v>6515</v>
      </c>
      <c r="N29" s="3">
        <v>521</v>
      </c>
      <c r="O29" s="3">
        <v>3440.68</v>
      </c>
      <c r="P29" s="9">
        <f t="shared" si="2"/>
        <v>2.4432777048565537</v>
      </c>
      <c r="Q29" s="11">
        <f t="shared" si="3"/>
        <v>0.52811665387567153</v>
      </c>
      <c r="R29" s="13">
        <f t="shared" si="4"/>
        <v>6.6039923224568131</v>
      </c>
      <c r="S29" s="4">
        <f t="shared" si="0"/>
        <v>1.3359248753153445</v>
      </c>
      <c r="T29" s="19" t="str">
        <f t="shared" si="1"/>
        <v>🟡 Mid</v>
      </c>
    </row>
    <row r="30" spans="1:20" x14ac:dyDescent="0.3">
      <c r="A30" s="16">
        <v>29</v>
      </c>
      <c r="B30" s="1" t="s">
        <v>76</v>
      </c>
      <c r="C30" s="1" t="s">
        <v>21</v>
      </c>
      <c r="D30" s="1" t="s">
        <v>29</v>
      </c>
      <c r="E30" s="1" t="s">
        <v>30</v>
      </c>
      <c r="F30" s="1" t="s">
        <v>24</v>
      </c>
      <c r="G30" s="1" t="s">
        <v>25</v>
      </c>
      <c r="H30" s="1" t="s">
        <v>26</v>
      </c>
      <c r="I30" s="1" t="s">
        <v>27</v>
      </c>
      <c r="J30" s="5">
        <v>2024</v>
      </c>
      <c r="K30" s="1">
        <v>983.33</v>
      </c>
      <c r="L30" s="1">
        <v>777343</v>
      </c>
      <c r="M30" s="1">
        <v>11479</v>
      </c>
      <c r="N30" s="1">
        <v>256</v>
      </c>
      <c r="O30" s="1">
        <v>866.67</v>
      </c>
      <c r="P30" s="8">
        <f t="shared" si="2"/>
        <v>1.4766969021397247</v>
      </c>
      <c r="Q30" s="10">
        <f t="shared" si="3"/>
        <v>7.5500479135813217E-2</v>
      </c>
      <c r="R30" s="12">
        <f t="shared" si="4"/>
        <v>3.3854296874999998</v>
      </c>
      <c r="S30" s="2">
        <f t="shared" si="0"/>
        <v>1.1346071745877901</v>
      </c>
      <c r="T30" s="18" t="str">
        <f t="shared" si="1"/>
        <v>🔴 Low</v>
      </c>
    </row>
    <row r="31" spans="1:20" x14ac:dyDescent="0.3">
      <c r="A31" s="17">
        <v>30</v>
      </c>
      <c r="B31" s="3" t="s">
        <v>64</v>
      </c>
      <c r="C31" s="3" t="s">
        <v>21</v>
      </c>
      <c r="D31" s="3" t="s">
        <v>13</v>
      </c>
      <c r="E31" s="3" t="s">
        <v>30</v>
      </c>
      <c r="F31" s="3" t="s">
        <v>31</v>
      </c>
      <c r="G31" s="3" t="s">
        <v>57</v>
      </c>
      <c r="H31" s="3" t="s">
        <v>33</v>
      </c>
      <c r="I31" s="3" t="s">
        <v>34</v>
      </c>
      <c r="J31" s="6">
        <v>2023</v>
      </c>
      <c r="K31" s="3">
        <v>17242.57</v>
      </c>
      <c r="L31" s="3">
        <v>238238</v>
      </c>
      <c r="M31" s="3">
        <v>717</v>
      </c>
      <c r="N31" s="3">
        <v>45</v>
      </c>
      <c r="O31" s="3">
        <v>16996.86</v>
      </c>
      <c r="P31" s="9">
        <f t="shared" si="2"/>
        <v>0.30095954465702363</v>
      </c>
      <c r="Q31" s="11">
        <f t="shared" si="3"/>
        <v>23.705523012552302</v>
      </c>
      <c r="R31" s="13">
        <f t="shared" si="4"/>
        <v>377.70800000000003</v>
      </c>
      <c r="S31" s="4">
        <f t="shared" si="0"/>
        <v>1.0144561995568593</v>
      </c>
      <c r="T31" s="19" t="str">
        <f t="shared" si="1"/>
        <v>🔴 Low</v>
      </c>
    </row>
    <row r="32" spans="1:20" x14ac:dyDescent="0.3">
      <c r="A32" s="16">
        <v>31</v>
      </c>
      <c r="B32" s="1" t="s">
        <v>77</v>
      </c>
      <c r="C32" s="1" t="s">
        <v>40</v>
      </c>
      <c r="D32" s="1" t="s">
        <v>46</v>
      </c>
      <c r="E32" s="1" t="s">
        <v>30</v>
      </c>
      <c r="F32" s="1" t="s">
        <v>24</v>
      </c>
      <c r="G32" s="1" t="s">
        <v>25</v>
      </c>
      <c r="H32" s="1" t="s">
        <v>33</v>
      </c>
      <c r="I32" s="1" t="s">
        <v>34</v>
      </c>
      <c r="J32" s="5">
        <v>2024</v>
      </c>
      <c r="K32" s="1">
        <v>5932.76</v>
      </c>
      <c r="L32" s="1">
        <v>77792</v>
      </c>
      <c r="M32" s="1">
        <v>1552</v>
      </c>
      <c r="N32" s="1">
        <v>121</v>
      </c>
      <c r="O32" s="1">
        <v>4555.5600000000004</v>
      </c>
      <c r="P32" s="8">
        <f t="shared" si="2"/>
        <v>1.9950637597696421</v>
      </c>
      <c r="Q32" s="10">
        <f t="shared" si="3"/>
        <v>2.9352835051546395</v>
      </c>
      <c r="R32" s="12">
        <f t="shared" si="4"/>
        <v>37.649256198347111</v>
      </c>
      <c r="S32" s="2">
        <f t="shared" si="0"/>
        <v>1.302311900183512</v>
      </c>
      <c r="T32" s="18" t="str">
        <f t="shared" si="1"/>
        <v>🟡 Mid</v>
      </c>
    </row>
    <row r="33" spans="1:20" x14ac:dyDescent="0.3">
      <c r="A33" s="17">
        <v>32</v>
      </c>
      <c r="B33" s="3" t="s">
        <v>78</v>
      </c>
      <c r="C33" s="3" t="s">
        <v>21</v>
      </c>
      <c r="D33" s="3" t="s">
        <v>22</v>
      </c>
      <c r="E33" s="3" t="s">
        <v>42</v>
      </c>
      <c r="F33" s="3" t="s">
        <v>47</v>
      </c>
      <c r="G33" s="3" t="s">
        <v>25</v>
      </c>
      <c r="H33" s="3" t="s">
        <v>79</v>
      </c>
      <c r="I33" s="3" t="s">
        <v>45</v>
      </c>
      <c r="J33" s="6">
        <v>2024</v>
      </c>
      <c r="K33" s="3">
        <v>1246.02</v>
      </c>
      <c r="L33" s="3">
        <v>630550</v>
      </c>
      <c r="M33" s="3">
        <v>3887</v>
      </c>
      <c r="N33" s="3">
        <v>44</v>
      </c>
      <c r="O33" s="3">
        <v>1128.8800000000001</v>
      </c>
      <c r="P33" s="9">
        <f t="shared" si="2"/>
        <v>0.61644595987629847</v>
      </c>
      <c r="Q33" s="11">
        <f t="shared" si="3"/>
        <v>0.29042449189606384</v>
      </c>
      <c r="R33" s="13">
        <f t="shared" si="4"/>
        <v>25.65636363636364</v>
      </c>
      <c r="S33" s="4">
        <f t="shared" si="0"/>
        <v>1.1037665650910635</v>
      </c>
      <c r="T33" s="19" t="str">
        <f t="shared" si="1"/>
        <v>🔴 Low</v>
      </c>
    </row>
    <row r="34" spans="1:20" x14ac:dyDescent="0.3">
      <c r="A34" s="16">
        <v>33</v>
      </c>
      <c r="B34" s="1" t="s">
        <v>80</v>
      </c>
      <c r="C34" s="1" t="s">
        <v>40</v>
      </c>
      <c r="D34" s="1" t="s">
        <v>29</v>
      </c>
      <c r="E34" s="1" t="s">
        <v>61</v>
      </c>
      <c r="F34" s="1" t="s">
        <v>24</v>
      </c>
      <c r="G34" s="1" t="s">
        <v>50</v>
      </c>
      <c r="H34" s="1" t="s">
        <v>79</v>
      </c>
      <c r="I34" s="1" t="s">
        <v>45</v>
      </c>
      <c r="J34" s="5">
        <v>2023</v>
      </c>
      <c r="K34" s="1">
        <v>5467.09</v>
      </c>
      <c r="L34" s="1">
        <v>748215</v>
      </c>
      <c r="M34" s="1">
        <v>7800</v>
      </c>
      <c r="N34" s="1">
        <v>266</v>
      </c>
      <c r="O34" s="1">
        <v>4857.3999999999996</v>
      </c>
      <c r="P34" s="8">
        <f t="shared" si="2"/>
        <v>1.0424811050299714</v>
      </c>
      <c r="Q34" s="10">
        <f t="shared" si="3"/>
        <v>0.62274358974358968</v>
      </c>
      <c r="R34" s="12">
        <f t="shared" si="4"/>
        <v>18.260902255639095</v>
      </c>
      <c r="S34" s="2">
        <f t="shared" si="0"/>
        <v>1.1255177667064686</v>
      </c>
      <c r="T34" s="18" t="str">
        <f t="shared" si="1"/>
        <v>🔴 Low</v>
      </c>
    </row>
    <row r="35" spans="1:20" x14ac:dyDescent="0.3">
      <c r="A35" s="17">
        <v>34</v>
      </c>
      <c r="B35" s="3" t="s">
        <v>63</v>
      </c>
      <c r="C35" s="3" t="s">
        <v>21</v>
      </c>
      <c r="D35" s="3" t="s">
        <v>13</v>
      </c>
      <c r="E35" s="3" t="s">
        <v>56</v>
      </c>
      <c r="F35" s="3" t="s">
        <v>24</v>
      </c>
      <c r="G35" s="3" t="s">
        <v>43</v>
      </c>
      <c r="H35" s="3" t="s">
        <v>79</v>
      </c>
      <c r="I35" s="3" t="s">
        <v>45</v>
      </c>
      <c r="J35" s="6">
        <v>2024</v>
      </c>
      <c r="K35" s="3">
        <v>13436.06</v>
      </c>
      <c r="L35" s="3">
        <v>135679</v>
      </c>
      <c r="M35" s="3">
        <v>1271</v>
      </c>
      <c r="N35" s="3">
        <v>127</v>
      </c>
      <c r="O35" s="3">
        <v>9756.4</v>
      </c>
      <c r="P35" s="9">
        <f t="shared" si="2"/>
        <v>0.9367698759572225</v>
      </c>
      <c r="Q35" s="11">
        <f t="shared" si="3"/>
        <v>7.6761605035405189</v>
      </c>
      <c r="R35" s="13">
        <f t="shared" si="4"/>
        <v>76.822047244094492</v>
      </c>
      <c r="S35" s="4">
        <f t="shared" si="0"/>
        <v>1.3771534582427944</v>
      </c>
      <c r="T35" s="19" t="str">
        <f t="shared" si="1"/>
        <v>🔴 Low</v>
      </c>
    </row>
    <row r="36" spans="1:20" x14ac:dyDescent="0.3">
      <c r="A36" s="16">
        <v>35</v>
      </c>
      <c r="B36" s="1" t="s">
        <v>80</v>
      </c>
      <c r="C36" s="1" t="s">
        <v>40</v>
      </c>
      <c r="D36" s="1" t="s">
        <v>13</v>
      </c>
      <c r="E36" s="1" t="s">
        <v>56</v>
      </c>
      <c r="F36" s="1" t="s">
        <v>31</v>
      </c>
      <c r="G36" s="1" t="s">
        <v>43</v>
      </c>
      <c r="H36" s="1" t="s">
        <v>81</v>
      </c>
      <c r="I36" s="1" t="s">
        <v>34</v>
      </c>
      <c r="J36" s="5">
        <v>2023</v>
      </c>
      <c r="K36" s="1">
        <v>4240.88</v>
      </c>
      <c r="L36" s="1">
        <v>702229</v>
      </c>
      <c r="M36" s="1">
        <v>16150</v>
      </c>
      <c r="N36" s="1">
        <v>1828</v>
      </c>
      <c r="O36" s="1">
        <v>3640.86</v>
      </c>
      <c r="P36" s="8">
        <f t="shared" si="2"/>
        <v>2.2998195745262588</v>
      </c>
      <c r="Q36" s="10">
        <f t="shared" si="3"/>
        <v>0.2254402476780186</v>
      </c>
      <c r="R36" s="12">
        <f t="shared" si="4"/>
        <v>1.9917177242888404</v>
      </c>
      <c r="S36" s="2">
        <f t="shared" si="0"/>
        <v>1.1648017226699185</v>
      </c>
      <c r="T36" s="18" t="str">
        <f t="shared" si="1"/>
        <v>🟡 Mid</v>
      </c>
    </row>
    <row r="37" spans="1:20" x14ac:dyDescent="0.3">
      <c r="A37" s="17">
        <v>36</v>
      </c>
      <c r="B37" s="3" t="s">
        <v>82</v>
      </c>
      <c r="C37" s="3" t="s">
        <v>40</v>
      </c>
      <c r="D37" s="3" t="s">
        <v>29</v>
      </c>
      <c r="E37" s="3" t="s">
        <v>42</v>
      </c>
      <c r="F37" s="3" t="s">
        <v>47</v>
      </c>
      <c r="G37" s="3" t="s">
        <v>43</v>
      </c>
      <c r="H37" s="3" t="s">
        <v>83</v>
      </c>
      <c r="I37" s="3" t="s">
        <v>38</v>
      </c>
      <c r="J37" s="6">
        <v>2024</v>
      </c>
      <c r="K37" s="3">
        <v>15822.3</v>
      </c>
      <c r="L37" s="3">
        <v>641130</v>
      </c>
      <c r="M37" s="3">
        <v>8493</v>
      </c>
      <c r="N37" s="3">
        <v>251</v>
      </c>
      <c r="O37" s="3">
        <v>12583.4</v>
      </c>
      <c r="P37" s="9">
        <f t="shared" si="2"/>
        <v>1.3246923400870338</v>
      </c>
      <c r="Q37" s="11">
        <f t="shared" si="3"/>
        <v>1.4816201577769927</v>
      </c>
      <c r="R37" s="13">
        <f t="shared" si="4"/>
        <v>50.133067729083663</v>
      </c>
      <c r="S37" s="4">
        <f t="shared" si="0"/>
        <v>1.2573946628097334</v>
      </c>
      <c r="T37" s="19" t="str">
        <f t="shared" si="1"/>
        <v>🔴 Low</v>
      </c>
    </row>
    <row r="38" spans="1:20" x14ac:dyDescent="0.3">
      <c r="A38" s="16">
        <v>37</v>
      </c>
      <c r="B38" s="1" t="s">
        <v>84</v>
      </c>
      <c r="C38" s="1" t="s">
        <v>40</v>
      </c>
      <c r="D38" s="1" t="s">
        <v>29</v>
      </c>
      <c r="E38" s="1" t="s">
        <v>56</v>
      </c>
      <c r="F38" s="1" t="s">
        <v>31</v>
      </c>
      <c r="G38" s="1" t="s">
        <v>25</v>
      </c>
      <c r="H38" s="1" t="s">
        <v>44</v>
      </c>
      <c r="I38" s="1" t="s">
        <v>45</v>
      </c>
      <c r="J38" s="5">
        <v>2023</v>
      </c>
      <c r="K38" s="1">
        <v>6033.83</v>
      </c>
      <c r="L38" s="1">
        <v>701101</v>
      </c>
      <c r="M38" s="1">
        <v>9092</v>
      </c>
      <c r="N38" s="1">
        <v>314</v>
      </c>
      <c r="O38" s="1">
        <v>5523.84</v>
      </c>
      <c r="P38" s="8">
        <f t="shared" si="2"/>
        <v>1.2968174342926342</v>
      </c>
      <c r="Q38" s="10">
        <f t="shared" si="3"/>
        <v>0.60754949406071268</v>
      </c>
      <c r="R38" s="12">
        <f t="shared" si="4"/>
        <v>17.591847133757962</v>
      </c>
      <c r="S38" s="2">
        <f t="shared" si="0"/>
        <v>1.0923252664812884</v>
      </c>
      <c r="T38" s="18" t="str">
        <f t="shared" si="1"/>
        <v>🔴 Low</v>
      </c>
    </row>
    <row r="39" spans="1:20" x14ac:dyDescent="0.3">
      <c r="A39" s="17">
        <v>38</v>
      </c>
      <c r="B39" s="3" t="s">
        <v>73</v>
      </c>
      <c r="C39" s="3" t="s">
        <v>21</v>
      </c>
      <c r="D39" s="3" t="s">
        <v>46</v>
      </c>
      <c r="E39" s="3" t="s">
        <v>30</v>
      </c>
      <c r="F39" s="3" t="s">
        <v>24</v>
      </c>
      <c r="G39" s="3" t="s">
        <v>57</v>
      </c>
      <c r="H39" s="3" t="s">
        <v>68</v>
      </c>
      <c r="I39" s="3" t="s">
        <v>27</v>
      </c>
      <c r="J39" s="6">
        <v>2023</v>
      </c>
      <c r="K39" s="3">
        <v>19686.75</v>
      </c>
      <c r="L39" s="3">
        <v>645967</v>
      </c>
      <c r="M39" s="3">
        <v>2357</v>
      </c>
      <c r="N39" s="3">
        <v>214</v>
      </c>
      <c r="O39" s="3">
        <v>12414.23</v>
      </c>
      <c r="P39" s="9">
        <f t="shared" si="2"/>
        <v>0.36487932046064275</v>
      </c>
      <c r="Q39" s="11">
        <f t="shared" si="3"/>
        <v>5.2669622401357659</v>
      </c>
      <c r="R39" s="13">
        <f t="shared" si="4"/>
        <v>58.010420560747662</v>
      </c>
      <c r="S39" s="4">
        <f t="shared" si="0"/>
        <v>1.5858212712347042</v>
      </c>
      <c r="T39" s="19" t="str">
        <f t="shared" si="1"/>
        <v>🔴 Low</v>
      </c>
    </row>
    <row r="40" spans="1:20" x14ac:dyDescent="0.3">
      <c r="A40" s="16">
        <v>39</v>
      </c>
      <c r="B40" s="1" t="s">
        <v>84</v>
      </c>
      <c r="C40" s="1" t="s">
        <v>40</v>
      </c>
      <c r="D40" s="1" t="s">
        <v>41</v>
      </c>
      <c r="E40" s="1" t="s">
        <v>56</v>
      </c>
      <c r="F40" s="1" t="s">
        <v>47</v>
      </c>
      <c r="G40" s="1" t="s">
        <v>25</v>
      </c>
      <c r="H40" s="1" t="s">
        <v>26</v>
      </c>
      <c r="I40" s="1" t="s">
        <v>27</v>
      </c>
      <c r="J40" s="5">
        <v>2023</v>
      </c>
      <c r="K40" s="1">
        <v>17906.87</v>
      </c>
      <c r="L40" s="1">
        <v>116764</v>
      </c>
      <c r="M40" s="1">
        <v>1941</v>
      </c>
      <c r="N40" s="1">
        <v>241</v>
      </c>
      <c r="O40" s="1">
        <v>15977.99</v>
      </c>
      <c r="P40" s="8">
        <f t="shared" si="2"/>
        <v>1.6623274296872321</v>
      </c>
      <c r="Q40" s="10">
        <f t="shared" si="3"/>
        <v>8.2318341061308598</v>
      </c>
      <c r="R40" s="12">
        <f t="shared" si="4"/>
        <v>66.298713692946052</v>
      </c>
      <c r="S40" s="2">
        <f t="shared" si="0"/>
        <v>1.1207210669176786</v>
      </c>
      <c r="T40" s="18" t="str">
        <f t="shared" si="1"/>
        <v>🟡 Mid</v>
      </c>
    </row>
    <row r="41" spans="1:20" x14ac:dyDescent="0.3">
      <c r="A41" s="17">
        <v>40</v>
      </c>
      <c r="B41" s="3" t="s">
        <v>60</v>
      </c>
      <c r="C41" s="3" t="s">
        <v>40</v>
      </c>
      <c r="D41" s="3" t="s">
        <v>29</v>
      </c>
      <c r="E41" s="3" t="s">
        <v>30</v>
      </c>
      <c r="F41" s="3" t="s">
        <v>24</v>
      </c>
      <c r="G41" s="3" t="s">
        <v>50</v>
      </c>
      <c r="H41" s="3" t="s">
        <v>26</v>
      </c>
      <c r="I41" s="3" t="s">
        <v>27</v>
      </c>
      <c r="J41" s="6">
        <v>2024</v>
      </c>
      <c r="K41" s="3">
        <v>13517.77</v>
      </c>
      <c r="L41" s="3">
        <v>591075</v>
      </c>
      <c r="M41" s="3">
        <v>7413</v>
      </c>
      <c r="N41" s="3">
        <v>206</v>
      </c>
      <c r="O41" s="3">
        <v>13504.48</v>
      </c>
      <c r="P41" s="9">
        <f t="shared" si="2"/>
        <v>1.2541555640147191</v>
      </c>
      <c r="Q41" s="11">
        <f t="shared" si="3"/>
        <v>1.8217293943072979</v>
      </c>
      <c r="R41" s="13">
        <f t="shared" si="4"/>
        <v>65.555728155339807</v>
      </c>
      <c r="S41" s="4">
        <f t="shared" si="0"/>
        <v>1.0009841178631091</v>
      </c>
      <c r="T41" s="19" t="str">
        <f t="shared" si="1"/>
        <v>🔴 Low</v>
      </c>
    </row>
    <row r="42" spans="1:20" x14ac:dyDescent="0.3">
      <c r="A42" s="16">
        <v>41</v>
      </c>
      <c r="B42" s="1" t="s">
        <v>82</v>
      </c>
      <c r="C42" s="1" t="s">
        <v>40</v>
      </c>
      <c r="D42" s="1" t="s">
        <v>29</v>
      </c>
      <c r="E42" s="1" t="s">
        <v>56</v>
      </c>
      <c r="F42" s="1" t="s">
        <v>24</v>
      </c>
      <c r="G42" s="1" t="s">
        <v>50</v>
      </c>
      <c r="H42" s="1" t="s">
        <v>48</v>
      </c>
      <c r="I42" s="1" t="s">
        <v>34</v>
      </c>
      <c r="J42" s="5">
        <v>2024</v>
      </c>
      <c r="K42" s="1">
        <v>15159.65</v>
      </c>
      <c r="L42" s="1">
        <v>673636</v>
      </c>
      <c r="M42" s="1">
        <v>9780</v>
      </c>
      <c r="N42" s="1">
        <v>239</v>
      </c>
      <c r="O42" s="1">
        <v>10619.08</v>
      </c>
      <c r="P42" s="8">
        <f t="shared" si="2"/>
        <v>1.4518226460581085</v>
      </c>
      <c r="Q42" s="10">
        <f t="shared" si="3"/>
        <v>1.0857955010224949</v>
      </c>
      <c r="R42" s="12">
        <f t="shared" si="4"/>
        <v>44.431297071129706</v>
      </c>
      <c r="S42" s="2">
        <f t="shared" si="0"/>
        <v>1.4275860055673373</v>
      </c>
      <c r="T42" s="18" t="str">
        <f t="shared" si="1"/>
        <v>🔴 Low</v>
      </c>
    </row>
    <row r="43" spans="1:20" x14ac:dyDescent="0.3">
      <c r="A43" s="17">
        <v>42</v>
      </c>
      <c r="B43" s="3" t="s">
        <v>85</v>
      </c>
      <c r="C43" s="3" t="s">
        <v>40</v>
      </c>
      <c r="D43" s="3" t="s">
        <v>13</v>
      </c>
      <c r="E43" s="3" t="s">
        <v>30</v>
      </c>
      <c r="F43" s="3" t="s">
        <v>47</v>
      </c>
      <c r="G43" s="3" t="s">
        <v>43</v>
      </c>
      <c r="H43" s="3" t="s">
        <v>37</v>
      </c>
      <c r="I43" s="3" t="s">
        <v>38</v>
      </c>
      <c r="J43" s="6">
        <v>2023</v>
      </c>
      <c r="K43" s="3">
        <v>3198.29</v>
      </c>
      <c r="L43" s="3">
        <v>247495</v>
      </c>
      <c r="M43" s="3">
        <v>6074</v>
      </c>
      <c r="N43" s="3">
        <v>466</v>
      </c>
      <c r="O43" s="3">
        <v>2124.23</v>
      </c>
      <c r="P43" s="9">
        <f t="shared" si="2"/>
        <v>2.4541909937574498</v>
      </c>
      <c r="Q43" s="11">
        <f t="shared" si="3"/>
        <v>0.34972505762265393</v>
      </c>
      <c r="R43" s="13">
        <f t="shared" si="4"/>
        <v>4.5584334763948497</v>
      </c>
      <c r="S43" s="4">
        <f t="shared" si="0"/>
        <v>1.5056232140587413</v>
      </c>
      <c r="T43" s="19" t="str">
        <f t="shared" si="1"/>
        <v>🟡 Mid</v>
      </c>
    </row>
    <row r="44" spans="1:20" x14ac:dyDescent="0.3">
      <c r="A44" s="16">
        <v>43</v>
      </c>
      <c r="B44" s="1" t="s">
        <v>70</v>
      </c>
      <c r="C44" s="1" t="s">
        <v>36</v>
      </c>
      <c r="D44" s="1" t="s">
        <v>41</v>
      </c>
      <c r="E44" s="1" t="s">
        <v>56</v>
      </c>
      <c r="F44" s="1" t="s">
        <v>47</v>
      </c>
      <c r="G44" s="1" t="s">
        <v>32</v>
      </c>
      <c r="H44" s="1" t="s">
        <v>48</v>
      </c>
      <c r="I44" s="1" t="s">
        <v>34</v>
      </c>
      <c r="J44" s="5">
        <v>2024</v>
      </c>
      <c r="K44" s="1">
        <v>1714.18</v>
      </c>
      <c r="L44" s="1">
        <v>445552</v>
      </c>
      <c r="M44" s="1">
        <v>9541</v>
      </c>
      <c r="N44" s="1">
        <v>1294</v>
      </c>
      <c r="O44" s="1">
        <v>1042.57</v>
      </c>
      <c r="P44" s="8">
        <f t="shared" si="2"/>
        <v>2.1413886594606244</v>
      </c>
      <c r="Q44" s="10">
        <f t="shared" si="3"/>
        <v>0.10927261293365474</v>
      </c>
      <c r="R44" s="12">
        <f t="shared" si="4"/>
        <v>0.80569551777434312</v>
      </c>
      <c r="S44" s="2">
        <f t="shared" si="0"/>
        <v>1.6441869610673625</v>
      </c>
      <c r="T44" s="18" t="str">
        <f t="shared" si="1"/>
        <v>🟡 Mid</v>
      </c>
    </row>
    <row r="45" spans="1:20" x14ac:dyDescent="0.3">
      <c r="A45" s="17">
        <v>44</v>
      </c>
      <c r="B45" s="3" t="s">
        <v>76</v>
      </c>
      <c r="C45" s="3" t="s">
        <v>21</v>
      </c>
      <c r="D45" s="3" t="s">
        <v>41</v>
      </c>
      <c r="E45" s="3" t="s">
        <v>42</v>
      </c>
      <c r="F45" s="3" t="s">
        <v>47</v>
      </c>
      <c r="G45" s="3" t="s">
        <v>43</v>
      </c>
      <c r="H45" s="3" t="s">
        <v>33</v>
      </c>
      <c r="I45" s="3" t="s">
        <v>34</v>
      </c>
      <c r="J45" s="6">
        <v>2024</v>
      </c>
      <c r="K45" s="3">
        <v>10995.3</v>
      </c>
      <c r="L45" s="3">
        <v>775319</v>
      </c>
      <c r="M45" s="3">
        <v>9679</v>
      </c>
      <c r="N45" s="3">
        <v>1003</v>
      </c>
      <c r="O45" s="3">
        <v>9383.02</v>
      </c>
      <c r="P45" s="9">
        <f t="shared" si="2"/>
        <v>1.248389372632426</v>
      </c>
      <c r="Q45" s="11">
        <f t="shared" si="3"/>
        <v>0.96942039466887076</v>
      </c>
      <c r="R45" s="13">
        <f t="shared" si="4"/>
        <v>9.3549551345962119</v>
      </c>
      <c r="S45" s="4">
        <f t="shared" si="0"/>
        <v>1.1718295388904636</v>
      </c>
      <c r="T45" s="19" t="str">
        <f t="shared" si="1"/>
        <v>🔴 Low</v>
      </c>
    </row>
    <row r="46" spans="1:20" x14ac:dyDescent="0.3">
      <c r="A46" s="16">
        <v>45</v>
      </c>
      <c r="B46" s="1" t="s">
        <v>86</v>
      </c>
      <c r="C46" s="1" t="s">
        <v>36</v>
      </c>
      <c r="D46" s="1" t="s">
        <v>46</v>
      </c>
      <c r="E46" s="1" t="s">
        <v>23</v>
      </c>
      <c r="F46" s="1" t="s">
        <v>47</v>
      </c>
      <c r="G46" s="1" t="s">
        <v>50</v>
      </c>
      <c r="H46" s="1" t="s">
        <v>68</v>
      </c>
      <c r="I46" s="1" t="s">
        <v>27</v>
      </c>
      <c r="J46" s="5">
        <v>2024</v>
      </c>
      <c r="K46" s="1">
        <v>7054.53</v>
      </c>
      <c r="L46" s="1">
        <v>717131</v>
      </c>
      <c r="M46" s="1">
        <v>21794</v>
      </c>
      <c r="N46" s="1">
        <v>1970</v>
      </c>
      <c r="O46" s="1">
        <v>6957.23</v>
      </c>
      <c r="P46" s="8">
        <f t="shared" si="2"/>
        <v>3.0390542313747422</v>
      </c>
      <c r="Q46" s="10">
        <f t="shared" si="3"/>
        <v>0.31922685142699825</v>
      </c>
      <c r="R46" s="12">
        <f t="shared" si="4"/>
        <v>3.5315888324873095</v>
      </c>
      <c r="S46" s="2">
        <f t="shared" si="0"/>
        <v>1.0139854511062594</v>
      </c>
      <c r="T46" s="18" t="str">
        <f t="shared" si="1"/>
        <v>🟢 High</v>
      </c>
    </row>
    <row r="47" spans="1:20" x14ac:dyDescent="0.3">
      <c r="A47" s="17">
        <v>46</v>
      </c>
      <c r="B47" s="3" t="s">
        <v>62</v>
      </c>
      <c r="C47" s="3" t="s">
        <v>21</v>
      </c>
      <c r="D47" s="3" t="s">
        <v>41</v>
      </c>
      <c r="E47" s="3" t="s">
        <v>61</v>
      </c>
      <c r="F47" s="3" t="s">
        <v>31</v>
      </c>
      <c r="G47" s="3" t="s">
        <v>57</v>
      </c>
      <c r="H47" s="3" t="s">
        <v>58</v>
      </c>
      <c r="I47" s="3" t="s">
        <v>27</v>
      </c>
      <c r="J47" s="6">
        <v>2024</v>
      </c>
      <c r="K47" s="3">
        <v>3146.14</v>
      </c>
      <c r="L47" s="3">
        <v>489125</v>
      </c>
      <c r="M47" s="3">
        <v>244</v>
      </c>
      <c r="N47" s="3">
        <v>18</v>
      </c>
      <c r="O47" s="3">
        <v>2231.4499999999998</v>
      </c>
      <c r="P47" s="9">
        <f t="shared" si="2"/>
        <v>4.9884998722208022E-2</v>
      </c>
      <c r="Q47" s="11">
        <f t="shared" si="3"/>
        <v>9.1452868852459002</v>
      </c>
      <c r="R47" s="13">
        <f t="shared" si="4"/>
        <v>123.96944444444443</v>
      </c>
      <c r="S47" s="4">
        <f t="shared" si="0"/>
        <v>1.4099083555535639</v>
      </c>
      <c r="T47" s="19" t="str">
        <f t="shared" si="1"/>
        <v>🔴 Low</v>
      </c>
    </row>
    <row r="48" spans="1:20" x14ac:dyDescent="0.3">
      <c r="A48" s="16">
        <v>47</v>
      </c>
      <c r="B48" s="1" t="s">
        <v>87</v>
      </c>
      <c r="C48" s="1" t="s">
        <v>40</v>
      </c>
      <c r="D48" s="1" t="s">
        <v>41</v>
      </c>
      <c r="E48" s="1" t="s">
        <v>23</v>
      </c>
      <c r="F48" s="1" t="s">
        <v>47</v>
      </c>
      <c r="G48" s="1" t="s">
        <v>50</v>
      </c>
      <c r="H48" s="1" t="s">
        <v>52</v>
      </c>
      <c r="I48" s="1" t="s">
        <v>38</v>
      </c>
      <c r="J48" s="5">
        <v>2024</v>
      </c>
      <c r="K48" s="1">
        <v>5419.29</v>
      </c>
      <c r="L48" s="1">
        <v>90884</v>
      </c>
      <c r="M48" s="1">
        <v>711</v>
      </c>
      <c r="N48" s="1">
        <v>45</v>
      </c>
      <c r="O48" s="1">
        <v>5418.24</v>
      </c>
      <c r="P48" s="8">
        <f t="shared" si="2"/>
        <v>0.78231591919369747</v>
      </c>
      <c r="Q48" s="10">
        <f t="shared" si="3"/>
        <v>7.6205907172995779</v>
      </c>
      <c r="R48" s="12">
        <f t="shared" si="4"/>
        <v>120.40533333333333</v>
      </c>
      <c r="S48" s="2">
        <f t="shared" si="0"/>
        <v>1.0001937898653437</v>
      </c>
      <c r="T48" s="18" t="str">
        <f t="shared" si="1"/>
        <v>🔴 Low</v>
      </c>
    </row>
    <row r="49" spans="1:20" x14ac:dyDescent="0.3">
      <c r="A49" s="17">
        <v>48</v>
      </c>
      <c r="B49" s="3" t="s">
        <v>88</v>
      </c>
      <c r="C49" s="3" t="s">
        <v>36</v>
      </c>
      <c r="D49" s="3" t="s">
        <v>22</v>
      </c>
      <c r="E49" s="3" t="s">
        <v>42</v>
      </c>
      <c r="F49" s="3" t="s">
        <v>24</v>
      </c>
      <c r="G49" s="3" t="s">
        <v>25</v>
      </c>
      <c r="H49" s="3" t="s">
        <v>68</v>
      </c>
      <c r="I49" s="3" t="s">
        <v>27</v>
      </c>
      <c r="J49" s="6">
        <v>2023</v>
      </c>
      <c r="K49" s="3">
        <v>5151.63</v>
      </c>
      <c r="L49" s="3">
        <v>501564</v>
      </c>
      <c r="M49" s="3">
        <v>14817</v>
      </c>
      <c r="N49" s="3">
        <v>222</v>
      </c>
      <c r="O49" s="3">
        <v>4311.2299999999996</v>
      </c>
      <c r="P49" s="9">
        <f t="shared" si="2"/>
        <v>2.9541593894298632</v>
      </c>
      <c r="Q49" s="11">
        <f t="shared" si="3"/>
        <v>0.29096510764662209</v>
      </c>
      <c r="R49" s="13">
        <f t="shared" si="4"/>
        <v>19.419954954954953</v>
      </c>
      <c r="S49" s="4">
        <f t="shared" si="0"/>
        <v>1.1949327686066391</v>
      </c>
      <c r="T49" s="19" t="str">
        <f t="shared" si="1"/>
        <v>🟡 Mid</v>
      </c>
    </row>
    <row r="50" spans="1:20" x14ac:dyDescent="0.3">
      <c r="A50" s="16">
        <v>49</v>
      </c>
      <c r="B50" s="1" t="s">
        <v>89</v>
      </c>
      <c r="C50" s="1" t="s">
        <v>36</v>
      </c>
      <c r="D50" s="1" t="s">
        <v>13</v>
      </c>
      <c r="E50" s="1" t="s">
        <v>23</v>
      </c>
      <c r="F50" s="1" t="s">
        <v>24</v>
      </c>
      <c r="G50" s="1" t="s">
        <v>32</v>
      </c>
      <c r="H50" s="1" t="s">
        <v>79</v>
      </c>
      <c r="I50" s="1" t="s">
        <v>45</v>
      </c>
      <c r="J50" s="5">
        <v>2023</v>
      </c>
      <c r="K50" s="1">
        <v>15666.94</v>
      </c>
      <c r="L50" s="1">
        <v>176720</v>
      </c>
      <c r="M50" s="1">
        <v>5360</v>
      </c>
      <c r="N50" s="1">
        <v>277</v>
      </c>
      <c r="O50" s="1">
        <v>11452.88</v>
      </c>
      <c r="P50" s="8">
        <f t="shared" si="2"/>
        <v>3.0330466274332277</v>
      </c>
      <c r="Q50" s="10">
        <f t="shared" si="3"/>
        <v>2.1367313432835817</v>
      </c>
      <c r="R50" s="12">
        <f t="shared" si="4"/>
        <v>41.34613718411552</v>
      </c>
      <c r="S50" s="2">
        <f t="shared" si="0"/>
        <v>1.3679476254007727</v>
      </c>
      <c r="T50" s="18" t="str">
        <f t="shared" si="1"/>
        <v>🟢 High</v>
      </c>
    </row>
    <row r="51" spans="1:20" x14ac:dyDescent="0.3">
      <c r="A51" s="17">
        <v>50</v>
      </c>
      <c r="B51" s="3" t="s">
        <v>90</v>
      </c>
      <c r="C51" s="3" t="s">
        <v>21</v>
      </c>
      <c r="D51" s="3" t="s">
        <v>41</v>
      </c>
      <c r="E51" s="3" t="s">
        <v>30</v>
      </c>
      <c r="F51" s="3" t="s">
        <v>24</v>
      </c>
      <c r="G51" s="3" t="s">
        <v>32</v>
      </c>
      <c r="H51" s="3" t="s">
        <v>54</v>
      </c>
      <c r="I51" s="3" t="s">
        <v>45</v>
      </c>
      <c r="J51" s="6">
        <v>2023</v>
      </c>
      <c r="K51" s="3">
        <v>2487.08</v>
      </c>
      <c r="L51" s="3">
        <v>321232</v>
      </c>
      <c r="M51" s="3">
        <v>2079</v>
      </c>
      <c r="N51" s="3">
        <v>266</v>
      </c>
      <c r="O51" s="3">
        <v>2119.42</v>
      </c>
      <c r="P51" s="9">
        <f t="shared" si="2"/>
        <v>0.64719579618468903</v>
      </c>
      <c r="Q51" s="11">
        <f t="shared" si="3"/>
        <v>1.0194420394420394</v>
      </c>
      <c r="R51" s="13">
        <f t="shared" si="4"/>
        <v>7.9677443609022562</v>
      </c>
      <c r="S51" s="4">
        <f t="shared" si="0"/>
        <v>1.1734719876192543</v>
      </c>
      <c r="T51" s="19" t="str">
        <f t="shared" si="1"/>
        <v>🔴 Low</v>
      </c>
    </row>
    <row r="52" spans="1:20" x14ac:dyDescent="0.3">
      <c r="A52" s="16">
        <v>51</v>
      </c>
      <c r="B52" s="1" t="s">
        <v>91</v>
      </c>
      <c r="C52" s="1" t="s">
        <v>36</v>
      </c>
      <c r="D52" s="1" t="s">
        <v>13</v>
      </c>
      <c r="E52" s="1" t="s">
        <v>61</v>
      </c>
      <c r="F52" s="1" t="s">
        <v>47</v>
      </c>
      <c r="G52" s="1" t="s">
        <v>43</v>
      </c>
      <c r="H52" s="1" t="s">
        <v>58</v>
      </c>
      <c r="I52" s="1" t="s">
        <v>27</v>
      </c>
      <c r="J52" s="5">
        <v>2024</v>
      </c>
      <c r="K52" s="1">
        <v>746.72</v>
      </c>
      <c r="L52" s="1">
        <v>445463</v>
      </c>
      <c r="M52" s="1">
        <v>12934</v>
      </c>
      <c r="N52" s="1">
        <v>1516</v>
      </c>
      <c r="O52" s="1">
        <v>647.37</v>
      </c>
      <c r="P52" s="8">
        <f t="shared" si="2"/>
        <v>2.90349591324083</v>
      </c>
      <c r="Q52" s="10">
        <f t="shared" si="3"/>
        <v>5.0051801453533322E-2</v>
      </c>
      <c r="R52" s="12">
        <f t="shared" si="4"/>
        <v>0.42702506596306067</v>
      </c>
      <c r="S52" s="2">
        <f t="shared" si="0"/>
        <v>1.1534671053647838</v>
      </c>
      <c r="T52" s="18" t="str">
        <f t="shared" si="1"/>
        <v>🟡 Mid</v>
      </c>
    </row>
    <row r="53" spans="1:20" x14ac:dyDescent="0.3">
      <c r="A53" s="17">
        <v>52</v>
      </c>
      <c r="B53" s="3" t="s">
        <v>92</v>
      </c>
      <c r="C53" s="3" t="s">
        <v>40</v>
      </c>
      <c r="D53" s="3" t="s">
        <v>41</v>
      </c>
      <c r="E53" s="3" t="s">
        <v>30</v>
      </c>
      <c r="F53" s="3" t="s">
        <v>31</v>
      </c>
      <c r="G53" s="3" t="s">
        <v>32</v>
      </c>
      <c r="H53" s="3" t="s">
        <v>44</v>
      </c>
      <c r="I53" s="3" t="s">
        <v>45</v>
      </c>
      <c r="J53" s="6">
        <v>2024</v>
      </c>
      <c r="K53" s="3">
        <v>12510.29</v>
      </c>
      <c r="L53" s="3">
        <v>569315</v>
      </c>
      <c r="M53" s="3">
        <v>7901</v>
      </c>
      <c r="N53" s="3">
        <v>963</v>
      </c>
      <c r="O53" s="3">
        <v>9948.77</v>
      </c>
      <c r="P53" s="9">
        <f t="shared" si="2"/>
        <v>1.3878081554148407</v>
      </c>
      <c r="Q53" s="11">
        <f t="shared" si="3"/>
        <v>1.2591785849892418</v>
      </c>
      <c r="R53" s="13">
        <f t="shared" si="4"/>
        <v>10.331017653167187</v>
      </c>
      <c r="S53" s="4">
        <f t="shared" si="0"/>
        <v>1.2574710240562401</v>
      </c>
      <c r="T53" s="19" t="str">
        <f t="shared" si="1"/>
        <v>🔴 Low</v>
      </c>
    </row>
    <row r="54" spans="1:20" x14ac:dyDescent="0.3">
      <c r="A54" s="16">
        <v>53</v>
      </c>
      <c r="B54" s="1" t="s">
        <v>73</v>
      </c>
      <c r="C54" s="1" t="s">
        <v>21</v>
      </c>
      <c r="D54" s="1" t="s">
        <v>13</v>
      </c>
      <c r="E54" s="1" t="s">
        <v>30</v>
      </c>
      <c r="F54" s="1" t="s">
        <v>24</v>
      </c>
      <c r="G54" s="1" t="s">
        <v>43</v>
      </c>
      <c r="H54" s="1" t="s">
        <v>48</v>
      </c>
      <c r="I54" s="1" t="s">
        <v>34</v>
      </c>
      <c r="J54" s="5">
        <v>2023</v>
      </c>
      <c r="K54" s="1">
        <v>15134.29</v>
      </c>
      <c r="L54" s="1">
        <v>602530</v>
      </c>
      <c r="M54" s="1">
        <v>1955</v>
      </c>
      <c r="N54" s="1">
        <v>101</v>
      </c>
      <c r="O54" s="1">
        <v>14489.57</v>
      </c>
      <c r="P54" s="8">
        <f t="shared" si="2"/>
        <v>0.32446517185866264</v>
      </c>
      <c r="Q54" s="10">
        <f t="shared" si="3"/>
        <v>7.4115447570332478</v>
      </c>
      <c r="R54" s="12">
        <f t="shared" si="4"/>
        <v>143.4610891089109</v>
      </c>
      <c r="S54" s="2">
        <f t="shared" si="0"/>
        <v>1.0444954543164497</v>
      </c>
      <c r="T54" s="18" t="str">
        <f t="shared" si="1"/>
        <v>🔴 Low</v>
      </c>
    </row>
    <row r="55" spans="1:20" x14ac:dyDescent="0.3">
      <c r="A55" s="17">
        <v>54</v>
      </c>
      <c r="B55" s="3" t="s">
        <v>86</v>
      </c>
      <c r="C55" s="3" t="s">
        <v>36</v>
      </c>
      <c r="D55" s="3" t="s">
        <v>46</v>
      </c>
      <c r="E55" s="3" t="s">
        <v>23</v>
      </c>
      <c r="F55" s="3" t="s">
        <v>47</v>
      </c>
      <c r="G55" s="3" t="s">
        <v>43</v>
      </c>
      <c r="H55" s="3" t="s">
        <v>52</v>
      </c>
      <c r="I55" s="3" t="s">
        <v>38</v>
      </c>
      <c r="J55" s="6">
        <v>2024</v>
      </c>
      <c r="K55" s="3">
        <v>11337.93</v>
      </c>
      <c r="L55" s="3">
        <v>546722</v>
      </c>
      <c r="M55" s="3">
        <v>13603</v>
      </c>
      <c r="N55" s="3">
        <v>1317</v>
      </c>
      <c r="O55" s="3">
        <v>7210.44</v>
      </c>
      <c r="P55" s="9">
        <f t="shared" si="2"/>
        <v>2.4881018140846716</v>
      </c>
      <c r="Q55" s="11">
        <f t="shared" si="3"/>
        <v>0.53006248621627583</v>
      </c>
      <c r="R55" s="13">
        <f t="shared" si="4"/>
        <v>5.4748974943052389</v>
      </c>
      <c r="S55" s="4">
        <f t="shared" si="0"/>
        <v>1.5724324729142745</v>
      </c>
      <c r="T55" s="19" t="str">
        <f t="shared" si="1"/>
        <v>🟡 Mid</v>
      </c>
    </row>
    <row r="56" spans="1:20" x14ac:dyDescent="0.3">
      <c r="A56" s="16">
        <v>55</v>
      </c>
      <c r="B56" s="1" t="s">
        <v>76</v>
      </c>
      <c r="C56" s="1" t="s">
        <v>21</v>
      </c>
      <c r="D56" s="1" t="s">
        <v>41</v>
      </c>
      <c r="E56" s="1" t="s">
        <v>61</v>
      </c>
      <c r="F56" s="1" t="s">
        <v>24</v>
      </c>
      <c r="G56" s="1" t="s">
        <v>50</v>
      </c>
      <c r="H56" s="1" t="s">
        <v>44</v>
      </c>
      <c r="I56" s="1" t="s">
        <v>45</v>
      </c>
      <c r="J56" s="5">
        <v>2024</v>
      </c>
      <c r="K56" s="1">
        <v>9239.4</v>
      </c>
      <c r="L56" s="1">
        <v>23080</v>
      </c>
      <c r="M56" s="1">
        <v>229</v>
      </c>
      <c r="N56" s="1">
        <v>26</v>
      </c>
      <c r="O56" s="1">
        <v>6731.89</v>
      </c>
      <c r="P56" s="8">
        <f t="shared" si="2"/>
        <v>0.99220103986135177</v>
      </c>
      <c r="Q56" s="10">
        <f t="shared" si="3"/>
        <v>29.39689956331878</v>
      </c>
      <c r="R56" s="12">
        <f t="shared" si="4"/>
        <v>258.91884615384618</v>
      </c>
      <c r="S56" s="2">
        <f t="shared" si="0"/>
        <v>1.372482319229815</v>
      </c>
      <c r="T56" s="18" t="str">
        <f t="shared" si="1"/>
        <v>🔴 Low</v>
      </c>
    </row>
    <row r="57" spans="1:20" x14ac:dyDescent="0.3">
      <c r="A57" s="17">
        <v>56</v>
      </c>
      <c r="B57" s="3" t="s">
        <v>78</v>
      </c>
      <c r="C57" s="3" t="s">
        <v>21</v>
      </c>
      <c r="D57" s="3" t="s">
        <v>41</v>
      </c>
      <c r="E57" s="3" t="s">
        <v>61</v>
      </c>
      <c r="F57" s="3" t="s">
        <v>31</v>
      </c>
      <c r="G57" s="3" t="s">
        <v>43</v>
      </c>
      <c r="H57" s="3" t="s">
        <v>33</v>
      </c>
      <c r="I57" s="3" t="s">
        <v>34</v>
      </c>
      <c r="J57" s="6">
        <v>2024</v>
      </c>
      <c r="K57" s="3">
        <v>7360.31</v>
      </c>
      <c r="L57" s="3">
        <v>480786</v>
      </c>
      <c r="M57" s="3">
        <v>4304</v>
      </c>
      <c r="N57" s="3">
        <v>351</v>
      </c>
      <c r="O57" s="3">
        <v>5193.3599999999997</v>
      </c>
      <c r="P57" s="9">
        <f t="shared" si="2"/>
        <v>0.89520077539695408</v>
      </c>
      <c r="Q57" s="11">
        <f t="shared" si="3"/>
        <v>1.2066356877323419</v>
      </c>
      <c r="R57" s="13">
        <f t="shared" si="4"/>
        <v>14.795897435897436</v>
      </c>
      <c r="S57" s="4">
        <f t="shared" si="0"/>
        <v>1.4172539550502952</v>
      </c>
      <c r="T57" s="19" t="str">
        <f t="shared" si="1"/>
        <v>🔴 Low</v>
      </c>
    </row>
    <row r="58" spans="1:20" x14ac:dyDescent="0.3">
      <c r="A58" s="16">
        <v>57</v>
      </c>
      <c r="B58" s="1" t="s">
        <v>93</v>
      </c>
      <c r="C58" s="1" t="s">
        <v>36</v>
      </c>
      <c r="D58" s="1" t="s">
        <v>13</v>
      </c>
      <c r="E58" s="1" t="s">
        <v>42</v>
      </c>
      <c r="F58" s="1" t="s">
        <v>31</v>
      </c>
      <c r="G58" s="1" t="s">
        <v>32</v>
      </c>
      <c r="H58" s="1" t="s">
        <v>54</v>
      </c>
      <c r="I58" s="1" t="s">
        <v>45</v>
      </c>
      <c r="J58" s="5">
        <v>2023</v>
      </c>
      <c r="K58" s="1">
        <v>4235.05</v>
      </c>
      <c r="L58" s="1">
        <v>779483</v>
      </c>
      <c r="M58" s="1">
        <v>15597</v>
      </c>
      <c r="N58" s="1">
        <v>1846</v>
      </c>
      <c r="O58" s="1">
        <v>3474.21</v>
      </c>
      <c r="P58" s="8">
        <f t="shared" si="2"/>
        <v>2.0009416497858195</v>
      </c>
      <c r="Q58" s="10">
        <f t="shared" si="3"/>
        <v>0.22274860550105791</v>
      </c>
      <c r="R58" s="12">
        <f t="shared" si="4"/>
        <v>1.8820205850487541</v>
      </c>
      <c r="S58" s="2">
        <f t="shared" si="0"/>
        <v>1.2189965488557111</v>
      </c>
      <c r="T58" s="18" t="str">
        <f t="shared" si="1"/>
        <v>🟡 Mid</v>
      </c>
    </row>
    <row r="59" spans="1:20" x14ac:dyDescent="0.3">
      <c r="A59" s="17">
        <v>58</v>
      </c>
      <c r="B59" s="3" t="s">
        <v>39</v>
      </c>
      <c r="C59" s="3" t="s">
        <v>40</v>
      </c>
      <c r="D59" s="3" t="s">
        <v>46</v>
      </c>
      <c r="E59" s="3" t="s">
        <v>23</v>
      </c>
      <c r="F59" s="3" t="s">
        <v>24</v>
      </c>
      <c r="G59" s="3" t="s">
        <v>43</v>
      </c>
      <c r="H59" s="3" t="s">
        <v>26</v>
      </c>
      <c r="I59" s="3" t="s">
        <v>27</v>
      </c>
      <c r="J59" s="6">
        <v>2024</v>
      </c>
      <c r="K59" s="3">
        <v>775.89</v>
      </c>
      <c r="L59" s="3">
        <v>565081</v>
      </c>
      <c r="M59" s="3">
        <v>9491</v>
      </c>
      <c r="N59" s="3">
        <v>451</v>
      </c>
      <c r="O59" s="3">
        <v>480.37</v>
      </c>
      <c r="P59" s="9">
        <f t="shared" si="2"/>
        <v>1.6795822191862759</v>
      </c>
      <c r="Q59" s="11">
        <f t="shared" si="3"/>
        <v>5.0613212517121482E-2</v>
      </c>
      <c r="R59" s="13">
        <f t="shared" si="4"/>
        <v>1.0651219512195123</v>
      </c>
      <c r="S59" s="4">
        <f t="shared" si="0"/>
        <v>1.615192455815309</v>
      </c>
      <c r="T59" s="19" t="str">
        <f t="shared" si="1"/>
        <v>🟡 Mid</v>
      </c>
    </row>
    <row r="60" spans="1:20" x14ac:dyDescent="0.3">
      <c r="A60" s="16">
        <v>59</v>
      </c>
      <c r="B60" s="1" t="s">
        <v>94</v>
      </c>
      <c r="C60" s="1" t="s">
        <v>36</v>
      </c>
      <c r="D60" s="1" t="s">
        <v>46</v>
      </c>
      <c r="E60" s="1" t="s">
        <v>56</v>
      </c>
      <c r="F60" s="1" t="s">
        <v>24</v>
      </c>
      <c r="G60" s="1" t="s">
        <v>57</v>
      </c>
      <c r="H60" s="1" t="s">
        <v>79</v>
      </c>
      <c r="I60" s="1" t="s">
        <v>45</v>
      </c>
      <c r="J60" s="5">
        <v>2024</v>
      </c>
      <c r="K60" s="1">
        <v>9653.24</v>
      </c>
      <c r="L60" s="1">
        <v>466865</v>
      </c>
      <c r="M60" s="1">
        <v>9803</v>
      </c>
      <c r="N60" s="1">
        <v>540</v>
      </c>
      <c r="O60" s="1">
        <v>9285.68</v>
      </c>
      <c r="P60" s="8">
        <f t="shared" si="2"/>
        <v>2.0997504631959987</v>
      </c>
      <c r="Q60" s="10">
        <f t="shared" si="3"/>
        <v>0.94722839946955018</v>
      </c>
      <c r="R60" s="12">
        <f t="shared" si="4"/>
        <v>17.195703703703703</v>
      </c>
      <c r="S60" s="2">
        <f t="shared" si="0"/>
        <v>1.0395835307699597</v>
      </c>
      <c r="T60" s="18" t="str">
        <f t="shared" si="1"/>
        <v>🟡 Mid</v>
      </c>
    </row>
    <row r="61" spans="1:20" x14ac:dyDescent="0.3">
      <c r="A61" s="17">
        <v>60</v>
      </c>
      <c r="B61" s="3" t="s">
        <v>88</v>
      </c>
      <c r="C61" s="3" t="s">
        <v>36</v>
      </c>
      <c r="D61" s="3" t="s">
        <v>41</v>
      </c>
      <c r="E61" s="3" t="s">
        <v>56</v>
      </c>
      <c r="F61" s="3" t="s">
        <v>24</v>
      </c>
      <c r="G61" s="3" t="s">
        <v>32</v>
      </c>
      <c r="H61" s="3" t="s">
        <v>44</v>
      </c>
      <c r="I61" s="3" t="s">
        <v>45</v>
      </c>
      <c r="J61" s="6">
        <v>2023</v>
      </c>
      <c r="K61" s="3">
        <v>3458.68</v>
      </c>
      <c r="L61" s="3">
        <v>595180</v>
      </c>
      <c r="M61" s="3">
        <v>23166</v>
      </c>
      <c r="N61" s="3">
        <v>3148</v>
      </c>
      <c r="O61" s="3">
        <v>2198.9499999999998</v>
      </c>
      <c r="P61" s="9">
        <f t="shared" si="2"/>
        <v>3.8922678853456101</v>
      </c>
      <c r="Q61" s="11">
        <f t="shared" si="3"/>
        <v>9.4921436588103245E-2</v>
      </c>
      <c r="R61" s="13">
        <f t="shared" si="4"/>
        <v>0.69852287166454885</v>
      </c>
      <c r="S61" s="4">
        <f t="shared" si="0"/>
        <v>1.5728779644830488</v>
      </c>
      <c r="T61" s="19" t="str">
        <f t="shared" si="1"/>
        <v>🟢 High</v>
      </c>
    </row>
    <row r="62" spans="1:20" x14ac:dyDescent="0.3">
      <c r="A62" s="16">
        <v>61</v>
      </c>
      <c r="B62" s="1" t="s">
        <v>88</v>
      </c>
      <c r="C62" s="1" t="s">
        <v>36</v>
      </c>
      <c r="D62" s="1" t="s">
        <v>29</v>
      </c>
      <c r="E62" s="1" t="s">
        <v>56</v>
      </c>
      <c r="F62" s="1" t="s">
        <v>31</v>
      </c>
      <c r="G62" s="1" t="s">
        <v>32</v>
      </c>
      <c r="H62" s="1" t="s">
        <v>79</v>
      </c>
      <c r="I62" s="1" t="s">
        <v>45</v>
      </c>
      <c r="J62" s="5">
        <v>2023</v>
      </c>
      <c r="K62" s="1">
        <v>15626.02</v>
      </c>
      <c r="L62" s="1">
        <v>403855</v>
      </c>
      <c r="M62" s="1">
        <v>9229</v>
      </c>
      <c r="N62" s="1">
        <v>330</v>
      </c>
      <c r="O62" s="1">
        <v>15873.12</v>
      </c>
      <c r="P62" s="8">
        <f t="shared" si="2"/>
        <v>2.2852261331418453</v>
      </c>
      <c r="Q62" s="10">
        <f t="shared" si="3"/>
        <v>1.719917650883086</v>
      </c>
      <c r="R62" s="12">
        <f t="shared" si="4"/>
        <v>48.100363636363639</v>
      </c>
      <c r="S62" s="2">
        <f t="shared" si="0"/>
        <v>0.98443280212081807</v>
      </c>
      <c r="T62" s="18" t="str">
        <f t="shared" si="1"/>
        <v>🟡 Mid</v>
      </c>
    </row>
    <row r="63" spans="1:20" x14ac:dyDescent="0.3">
      <c r="A63" s="17">
        <v>62</v>
      </c>
      <c r="B63" s="3" t="s">
        <v>51</v>
      </c>
      <c r="C63" s="3" t="s">
        <v>40</v>
      </c>
      <c r="D63" s="3" t="s">
        <v>29</v>
      </c>
      <c r="E63" s="3" t="s">
        <v>42</v>
      </c>
      <c r="F63" s="3" t="s">
        <v>24</v>
      </c>
      <c r="G63" s="3" t="s">
        <v>25</v>
      </c>
      <c r="H63" s="3" t="s">
        <v>52</v>
      </c>
      <c r="I63" s="3" t="s">
        <v>38</v>
      </c>
      <c r="J63" s="6">
        <v>2023</v>
      </c>
      <c r="K63" s="3">
        <v>3562.61</v>
      </c>
      <c r="L63" s="3">
        <v>187256</v>
      </c>
      <c r="M63" s="3">
        <v>3305</v>
      </c>
      <c r="N63" s="3">
        <v>87</v>
      </c>
      <c r="O63" s="3">
        <v>2371.79</v>
      </c>
      <c r="P63" s="9">
        <f t="shared" si="2"/>
        <v>1.7649634724655017</v>
      </c>
      <c r="Q63" s="11">
        <f t="shared" si="3"/>
        <v>0.71763691376701966</v>
      </c>
      <c r="R63" s="13">
        <f t="shared" si="4"/>
        <v>27.261954022988505</v>
      </c>
      <c r="S63" s="4">
        <f t="shared" si="0"/>
        <v>1.5020764907517108</v>
      </c>
      <c r="T63" s="19" t="str">
        <f t="shared" si="1"/>
        <v>🟡 Mid</v>
      </c>
    </row>
    <row r="64" spans="1:20" x14ac:dyDescent="0.3">
      <c r="A64" s="16">
        <v>63</v>
      </c>
      <c r="B64" s="1" t="s">
        <v>66</v>
      </c>
      <c r="C64" s="1" t="s">
        <v>40</v>
      </c>
      <c r="D64" s="1" t="s">
        <v>29</v>
      </c>
      <c r="E64" s="1" t="s">
        <v>56</v>
      </c>
      <c r="F64" s="1" t="s">
        <v>47</v>
      </c>
      <c r="G64" s="1" t="s">
        <v>57</v>
      </c>
      <c r="H64" s="1" t="s">
        <v>83</v>
      </c>
      <c r="I64" s="1" t="s">
        <v>38</v>
      </c>
      <c r="J64" s="5">
        <v>2024</v>
      </c>
      <c r="K64" s="1">
        <v>14285.64</v>
      </c>
      <c r="L64" s="1">
        <v>742135</v>
      </c>
      <c r="M64" s="1">
        <v>12780</v>
      </c>
      <c r="N64" s="1">
        <v>217</v>
      </c>
      <c r="O64" s="1">
        <v>10158.700000000001</v>
      </c>
      <c r="P64" s="8">
        <f t="shared" si="2"/>
        <v>1.7220586550964447</v>
      </c>
      <c r="Q64" s="10">
        <f t="shared" si="3"/>
        <v>0.79489045383411583</v>
      </c>
      <c r="R64" s="12">
        <f t="shared" si="4"/>
        <v>46.814285714285717</v>
      </c>
      <c r="S64" s="2">
        <f t="shared" si="0"/>
        <v>1.4062468622953723</v>
      </c>
      <c r="T64" s="18" t="str">
        <f t="shared" si="1"/>
        <v>🟡 Mid</v>
      </c>
    </row>
    <row r="65" spans="1:20" x14ac:dyDescent="0.3">
      <c r="A65" s="17">
        <v>64</v>
      </c>
      <c r="B65" s="3" t="s">
        <v>64</v>
      </c>
      <c r="C65" s="3" t="s">
        <v>21</v>
      </c>
      <c r="D65" s="3" t="s">
        <v>41</v>
      </c>
      <c r="E65" s="3" t="s">
        <v>42</v>
      </c>
      <c r="F65" s="3" t="s">
        <v>31</v>
      </c>
      <c r="G65" s="3" t="s">
        <v>25</v>
      </c>
      <c r="H65" s="3" t="s">
        <v>44</v>
      </c>
      <c r="I65" s="3" t="s">
        <v>45</v>
      </c>
      <c r="J65" s="6">
        <v>2023</v>
      </c>
      <c r="K65" s="3">
        <v>18214.02</v>
      </c>
      <c r="L65" s="3">
        <v>154145</v>
      </c>
      <c r="M65" s="3">
        <v>850</v>
      </c>
      <c r="N65" s="3">
        <v>55</v>
      </c>
      <c r="O65" s="3">
        <v>12197.7</v>
      </c>
      <c r="P65" s="9">
        <f t="shared" si="2"/>
        <v>0.5514288494599241</v>
      </c>
      <c r="Q65" s="11">
        <f t="shared" si="3"/>
        <v>14.350235294117647</v>
      </c>
      <c r="R65" s="13">
        <f t="shared" si="4"/>
        <v>221.77636363636364</v>
      </c>
      <c r="S65" s="4">
        <f t="shared" si="0"/>
        <v>1.4932339703386703</v>
      </c>
      <c r="T65" s="19" t="str">
        <f t="shared" si="1"/>
        <v>🔴 Low</v>
      </c>
    </row>
    <row r="66" spans="1:20" x14ac:dyDescent="0.3">
      <c r="A66" s="16">
        <v>65</v>
      </c>
      <c r="B66" s="1" t="s">
        <v>77</v>
      </c>
      <c r="C66" s="1" t="s">
        <v>40</v>
      </c>
      <c r="D66" s="1" t="s">
        <v>41</v>
      </c>
      <c r="E66" s="1" t="s">
        <v>42</v>
      </c>
      <c r="F66" s="1" t="s">
        <v>47</v>
      </c>
      <c r="G66" s="1" t="s">
        <v>43</v>
      </c>
      <c r="H66" s="1" t="s">
        <v>54</v>
      </c>
      <c r="I66" s="1" t="s">
        <v>45</v>
      </c>
      <c r="J66" s="5">
        <v>2024</v>
      </c>
      <c r="K66" s="1">
        <v>18882.189999999999</v>
      </c>
      <c r="L66" s="1">
        <v>529783</v>
      </c>
      <c r="M66" s="1">
        <v>5723</v>
      </c>
      <c r="N66" s="1">
        <v>617</v>
      </c>
      <c r="O66" s="1">
        <v>18382.900000000001</v>
      </c>
      <c r="P66" s="8">
        <f t="shared" ref="P66:P129" si="5">IFERROR(M66/L66*100,0)</f>
        <v>1.080253613271849</v>
      </c>
      <c r="Q66" s="10">
        <f t="shared" ref="Q66:Q129" si="6">IFERROR(O66/M66,0)</f>
        <v>3.2121090337235718</v>
      </c>
      <c r="R66" s="12">
        <f t="shared" ref="R66:R129" si="7">IFERROR(O66/N66,"-")</f>
        <v>29.794003241491087</v>
      </c>
      <c r="S66" s="2">
        <f t="shared" ref="S66:S129" si="8">IFERROR(K66/O66,0)</f>
        <v>1.027160567701505</v>
      </c>
      <c r="T66" s="18" t="str">
        <f t="shared" ref="T66:T129" si="9">IF(P66&gt;=3,"🟢 High",IF(P66&gt;=1.5,"🟡 Mid","🔴 Low"))</f>
        <v>🔴 Low</v>
      </c>
    </row>
    <row r="67" spans="1:20" x14ac:dyDescent="0.3">
      <c r="A67" s="17">
        <v>66</v>
      </c>
      <c r="B67" s="3" t="s">
        <v>95</v>
      </c>
      <c r="C67" s="3" t="s">
        <v>21</v>
      </c>
      <c r="D67" s="3" t="s">
        <v>29</v>
      </c>
      <c r="E67" s="3" t="s">
        <v>23</v>
      </c>
      <c r="F67" s="3" t="s">
        <v>24</v>
      </c>
      <c r="G67" s="3" t="s">
        <v>57</v>
      </c>
      <c r="H67" s="3" t="s">
        <v>83</v>
      </c>
      <c r="I67" s="3" t="s">
        <v>38</v>
      </c>
      <c r="J67" s="6">
        <v>2023</v>
      </c>
      <c r="K67" s="3">
        <v>19991.66</v>
      </c>
      <c r="L67" s="3">
        <v>709938</v>
      </c>
      <c r="M67" s="3">
        <v>4022</v>
      </c>
      <c r="N67" s="3">
        <v>139</v>
      </c>
      <c r="O67" s="3">
        <v>16833.45</v>
      </c>
      <c r="P67" s="9">
        <f t="shared" si="5"/>
        <v>0.56652834472869462</v>
      </c>
      <c r="Q67" s="11">
        <f t="shared" si="6"/>
        <v>4.1853431128791652</v>
      </c>
      <c r="R67" s="13">
        <f t="shared" si="7"/>
        <v>121.10395683453238</v>
      </c>
      <c r="S67" s="4">
        <f t="shared" si="8"/>
        <v>1.1876151353406461</v>
      </c>
      <c r="T67" s="19" t="str">
        <f t="shared" si="9"/>
        <v>🔴 Low</v>
      </c>
    </row>
    <row r="68" spans="1:20" x14ac:dyDescent="0.3">
      <c r="A68" s="16">
        <v>67</v>
      </c>
      <c r="B68" s="1" t="s">
        <v>86</v>
      </c>
      <c r="C68" s="1" t="s">
        <v>36</v>
      </c>
      <c r="D68" s="1" t="s">
        <v>29</v>
      </c>
      <c r="E68" s="1" t="s">
        <v>56</v>
      </c>
      <c r="F68" s="1" t="s">
        <v>47</v>
      </c>
      <c r="G68" s="1" t="s">
        <v>25</v>
      </c>
      <c r="H68" s="1" t="s">
        <v>79</v>
      </c>
      <c r="I68" s="1" t="s">
        <v>45</v>
      </c>
      <c r="J68" s="5">
        <v>2024</v>
      </c>
      <c r="K68" s="1">
        <v>12878.3</v>
      </c>
      <c r="L68" s="1">
        <v>520611</v>
      </c>
      <c r="M68" s="1">
        <v>17455</v>
      </c>
      <c r="N68" s="1">
        <v>388</v>
      </c>
      <c r="O68" s="1">
        <v>9463.5499999999993</v>
      </c>
      <c r="P68" s="8">
        <f t="shared" si="5"/>
        <v>3.3527912395243282</v>
      </c>
      <c r="Q68" s="10">
        <f t="shared" si="6"/>
        <v>0.54216843311372098</v>
      </c>
      <c r="R68" s="12">
        <f t="shared" si="7"/>
        <v>24.390592783505152</v>
      </c>
      <c r="S68" s="2">
        <f t="shared" si="8"/>
        <v>1.3608318231530452</v>
      </c>
      <c r="T68" s="18" t="str">
        <f t="shared" si="9"/>
        <v>🟢 High</v>
      </c>
    </row>
    <row r="69" spans="1:20" x14ac:dyDescent="0.3">
      <c r="A69" s="17">
        <v>68</v>
      </c>
      <c r="B69" s="3" t="s">
        <v>65</v>
      </c>
      <c r="C69" s="3" t="s">
        <v>36</v>
      </c>
      <c r="D69" s="3" t="s">
        <v>13</v>
      </c>
      <c r="E69" s="3" t="s">
        <v>56</v>
      </c>
      <c r="F69" s="3" t="s">
        <v>31</v>
      </c>
      <c r="G69" s="3" t="s">
        <v>50</v>
      </c>
      <c r="H69" s="3" t="s">
        <v>52</v>
      </c>
      <c r="I69" s="3" t="s">
        <v>38</v>
      </c>
      <c r="J69" s="6">
        <v>2024</v>
      </c>
      <c r="K69" s="3">
        <v>16364.54</v>
      </c>
      <c r="L69" s="3">
        <v>581818</v>
      </c>
      <c r="M69" s="3">
        <v>15657</v>
      </c>
      <c r="N69" s="3">
        <v>823</v>
      </c>
      <c r="O69" s="3">
        <v>10423.969999999999</v>
      </c>
      <c r="P69" s="9">
        <f t="shared" si="5"/>
        <v>2.6910477159524113</v>
      </c>
      <c r="Q69" s="11">
        <f t="shared" si="6"/>
        <v>0.66577058184837445</v>
      </c>
      <c r="R69" s="13">
        <f t="shared" si="7"/>
        <v>12.665820170109356</v>
      </c>
      <c r="S69" s="4">
        <f t="shared" si="8"/>
        <v>1.5698951551088502</v>
      </c>
      <c r="T69" s="19" t="str">
        <f t="shared" si="9"/>
        <v>🟡 Mid</v>
      </c>
    </row>
    <row r="70" spans="1:20" x14ac:dyDescent="0.3">
      <c r="A70" s="16">
        <v>69</v>
      </c>
      <c r="B70" s="1" t="s">
        <v>96</v>
      </c>
      <c r="C70" s="1" t="s">
        <v>40</v>
      </c>
      <c r="D70" s="1" t="s">
        <v>22</v>
      </c>
      <c r="E70" s="1" t="s">
        <v>56</v>
      </c>
      <c r="F70" s="1" t="s">
        <v>31</v>
      </c>
      <c r="G70" s="1" t="s">
        <v>57</v>
      </c>
      <c r="H70" s="1" t="s">
        <v>44</v>
      </c>
      <c r="I70" s="1" t="s">
        <v>45</v>
      </c>
      <c r="J70" s="5">
        <v>2024</v>
      </c>
      <c r="K70" s="1">
        <v>8558.33</v>
      </c>
      <c r="L70" s="1">
        <v>201694</v>
      </c>
      <c r="M70" s="1">
        <v>1828</v>
      </c>
      <c r="N70" s="1">
        <v>22</v>
      </c>
      <c r="O70" s="1">
        <v>6723.91</v>
      </c>
      <c r="P70" s="8">
        <f t="shared" si="5"/>
        <v>0.90632344045930968</v>
      </c>
      <c r="Q70" s="10">
        <f t="shared" si="6"/>
        <v>3.6782877461706782</v>
      </c>
      <c r="R70" s="12">
        <f t="shared" si="7"/>
        <v>305.63227272727272</v>
      </c>
      <c r="S70" s="2">
        <f t="shared" si="8"/>
        <v>1.2728204274001289</v>
      </c>
      <c r="T70" s="18" t="str">
        <f t="shared" si="9"/>
        <v>🔴 Low</v>
      </c>
    </row>
    <row r="71" spans="1:20" x14ac:dyDescent="0.3">
      <c r="A71" s="17">
        <v>70</v>
      </c>
      <c r="B71" s="3" t="s">
        <v>97</v>
      </c>
      <c r="C71" s="3" t="s">
        <v>36</v>
      </c>
      <c r="D71" s="3" t="s">
        <v>13</v>
      </c>
      <c r="E71" s="3" t="s">
        <v>61</v>
      </c>
      <c r="F71" s="3" t="s">
        <v>24</v>
      </c>
      <c r="G71" s="3" t="s">
        <v>43</v>
      </c>
      <c r="H71" s="3" t="s">
        <v>48</v>
      </c>
      <c r="I71" s="3" t="s">
        <v>34</v>
      </c>
      <c r="J71" s="6">
        <v>2024</v>
      </c>
      <c r="K71" s="3">
        <v>2867.81</v>
      </c>
      <c r="L71" s="3">
        <v>665626</v>
      </c>
      <c r="M71" s="3">
        <v>18100</v>
      </c>
      <c r="N71" s="3">
        <v>1676</v>
      </c>
      <c r="O71" s="3">
        <v>2008.92</v>
      </c>
      <c r="P71" s="9">
        <f t="shared" si="5"/>
        <v>2.7192447410407645</v>
      </c>
      <c r="Q71" s="11">
        <f t="shared" si="6"/>
        <v>0.11099005524861878</v>
      </c>
      <c r="R71" s="13">
        <f t="shared" si="7"/>
        <v>1.1986396181384249</v>
      </c>
      <c r="S71" s="4">
        <f t="shared" si="8"/>
        <v>1.4275381797184556</v>
      </c>
      <c r="T71" s="19" t="str">
        <f t="shared" si="9"/>
        <v>🟡 Mid</v>
      </c>
    </row>
    <row r="72" spans="1:20" x14ac:dyDescent="0.3">
      <c r="A72" s="16">
        <v>71</v>
      </c>
      <c r="B72" s="1" t="s">
        <v>71</v>
      </c>
      <c r="C72" s="1" t="s">
        <v>36</v>
      </c>
      <c r="D72" s="1" t="s">
        <v>29</v>
      </c>
      <c r="E72" s="1" t="s">
        <v>42</v>
      </c>
      <c r="F72" s="1" t="s">
        <v>31</v>
      </c>
      <c r="G72" s="1" t="s">
        <v>50</v>
      </c>
      <c r="H72" s="1" t="s">
        <v>58</v>
      </c>
      <c r="I72" s="1" t="s">
        <v>27</v>
      </c>
      <c r="J72" s="5">
        <v>2023</v>
      </c>
      <c r="K72" s="1">
        <v>19849.009999999998</v>
      </c>
      <c r="L72" s="1">
        <v>123972</v>
      </c>
      <c r="M72" s="1">
        <v>3170</v>
      </c>
      <c r="N72" s="1">
        <v>110</v>
      </c>
      <c r="O72" s="1">
        <v>16064.16</v>
      </c>
      <c r="P72" s="8">
        <f t="shared" si="5"/>
        <v>2.557029006549866</v>
      </c>
      <c r="Q72" s="10">
        <f t="shared" si="6"/>
        <v>5.0675583596214508</v>
      </c>
      <c r="R72" s="12">
        <f t="shared" si="7"/>
        <v>146.03781818181818</v>
      </c>
      <c r="S72" s="2">
        <f t="shared" si="8"/>
        <v>1.2356083355743468</v>
      </c>
      <c r="T72" s="18" t="str">
        <f t="shared" si="9"/>
        <v>🟡 Mid</v>
      </c>
    </row>
    <row r="73" spans="1:20" x14ac:dyDescent="0.3">
      <c r="A73" s="17">
        <v>72</v>
      </c>
      <c r="B73" s="3" t="s">
        <v>73</v>
      </c>
      <c r="C73" s="3" t="s">
        <v>21</v>
      </c>
      <c r="D73" s="3" t="s">
        <v>29</v>
      </c>
      <c r="E73" s="3" t="s">
        <v>23</v>
      </c>
      <c r="F73" s="3" t="s">
        <v>47</v>
      </c>
      <c r="G73" s="3" t="s">
        <v>50</v>
      </c>
      <c r="H73" s="3" t="s">
        <v>48</v>
      </c>
      <c r="I73" s="3" t="s">
        <v>34</v>
      </c>
      <c r="J73" s="6">
        <v>2023</v>
      </c>
      <c r="K73" s="3">
        <v>9407.34</v>
      </c>
      <c r="L73" s="3">
        <v>156668</v>
      </c>
      <c r="M73" s="3">
        <v>1190</v>
      </c>
      <c r="N73" s="3">
        <v>25</v>
      </c>
      <c r="O73" s="3">
        <v>9286.7800000000007</v>
      </c>
      <c r="P73" s="9">
        <f t="shared" si="5"/>
        <v>0.75956800367656452</v>
      </c>
      <c r="Q73" s="11">
        <f t="shared" si="6"/>
        <v>7.8040168067226894</v>
      </c>
      <c r="R73" s="13">
        <f t="shared" si="7"/>
        <v>371.47120000000001</v>
      </c>
      <c r="S73" s="4">
        <f t="shared" si="8"/>
        <v>1.0129818946933167</v>
      </c>
      <c r="T73" s="19" t="str">
        <f t="shared" si="9"/>
        <v>🔴 Low</v>
      </c>
    </row>
    <row r="74" spans="1:20" x14ac:dyDescent="0.3">
      <c r="A74" s="16">
        <v>73</v>
      </c>
      <c r="B74" s="1" t="s">
        <v>49</v>
      </c>
      <c r="C74" s="1" t="s">
        <v>21</v>
      </c>
      <c r="D74" s="1" t="s">
        <v>22</v>
      </c>
      <c r="E74" s="1" t="s">
        <v>23</v>
      </c>
      <c r="F74" s="1" t="s">
        <v>47</v>
      </c>
      <c r="G74" s="1" t="s">
        <v>43</v>
      </c>
      <c r="H74" s="1" t="s">
        <v>81</v>
      </c>
      <c r="I74" s="1" t="s">
        <v>34</v>
      </c>
      <c r="J74" s="5">
        <v>2024</v>
      </c>
      <c r="K74" s="1">
        <v>16500.71</v>
      </c>
      <c r="L74" s="1">
        <v>301578</v>
      </c>
      <c r="M74" s="1">
        <v>1680</v>
      </c>
      <c r="N74" s="1">
        <v>23</v>
      </c>
      <c r="O74" s="1">
        <v>14474.01</v>
      </c>
      <c r="P74" s="8">
        <f t="shared" si="5"/>
        <v>0.55706981278475221</v>
      </c>
      <c r="Q74" s="10">
        <f t="shared" si="6"/>
        <v>8.6154821428571431</v>
      </c>
      <c r="R74" s="12">
        <f t="shared" si="7"/>
        <v>629.30478260869563</v>
      </c>
      <c r="S74" s="2">
        <f t="shared" si="8"/>
        <v>1.1400233936552482</v>
      </c>
      <c r="T74" s="18" t="str">
        <f t="shared" si="9"/>
        <v>🔴 Low</v>
      </c>
    </row>
    <row r="75" spans="1:20" x14ac:dyDescent="0.3">
      <c r="A75" s="17">
        <v>74</v>
      </c>
      <c r="B75" s="3" t="s">
        <v>86</v>
      </c>
      <c r="C75" s="3" t="s">
        <v>36</v>
      </c>
      <c r="D75" s="3" t="s">
        <v>29</v>
      </c>
      <c r="E75" s="3" t="s">
        <v>56</v>
      </c>
      <c r="F75" s="3" t="s">
        <v>47</v>
      </c>
      <c r="G75" s="3" t="s">
        <v>43</v>
      </c>
      <c r="H75" s="3" t="s">
        <v>81</v>
      </c>
      <c r="I75" s="3" t="s">
        <v>34</v>
      </c>
      <c r="J75" s="6">
        <v>2024</v>
      </c>
      <c r="K75" s="3">
        <v>9379.2199999999993</v>
      </c>
      <c r="L75" s="3">
        <v>342408</v>
      </c>
      <c r="M75" s="3">
        <v>6360</v>
      </c>
      <c r="N75" s="3">
        <v>229</v>
      </c>
      <c r="O75" s="3">
        <v>9491.07</v>
      </c>
      <c r="P75" s="9">
        <f t="shared" si="5"/>
        <v>1.8574332375411791</v>
      </c>
      <c r="Q75" s="11">
        <f t="shared" si="6"/>
        <v>1.4923066037735848</v>
      </c>
      <c r="R75" s="13">
        <f t="shared" si="7"/>
        <v>41.445720524017467</v>
      </c>
      <c r="S75" s="4">
        <f t="shared" si="8"/>
        <v>0.98821523811330014</v>
      </c>
      <c r="T75" s="19" t="str">
        <f t="shared" si="9"/>
        <v>🟡 Mid</v>
      </c>
    </row>
    <row r="76" spans="1:20" x14ac:dyDescent="0.3">
      <c r="A76" s="16">
        <v>75</v>
      </c>
      <c r="B76" s="1" t="s">
        <v>75</v>
      </c>
      <c r="C76" s="1" t="s">
        <v>36</v>
      </c>
      <c r="D76" s="1" t="s">
        <v>46</v>
      </c>
      <c r="E76" s="1" t="s">
        <v>56</v>
      </c>
      <c r="F76" s="1" t="s">
        <v>24</v>
      </c>
      <c r="G76" s="1" t="s">
        <v>43</v>
      </c>
      <c r="H76" s="1" t="s">
        <v>54</v>
      </c>
      <c r="I76" s="1" t="s">
        <v>45</v>
      </c>
      <c r="J76" s="5">
        <v>2024</v>
      </c>
      <c r="K76" s="1">
        <v>14251.94</v>
      </c>
      <c r="L76" s="1">
        <v>404749</v>
      </c>
      <c r="M76" s="1">
        <v>9078</v>
      </c>
      <c r="N76" s="1">
        <v>810</v>
      </c>
      <c r="O76" s="1">
        <v>14422.16</v>
      </c>
      <c r="P76" s="8">
        <f t="shared" si="5"/>
        <v>2.2428715080210204</v>
      </c>
      <c r="Q76" s="10">
        <f t="shared" si="6"/>
        <v>1.5886935448336639</v>
      </c>
      <c r="R76" s="12">
        <f t="shared" si="7"/>
        <v>17.805135802469135</v>
      </c>
      <c r="S76" s="2">
        <f t="shared" si="8"/>
        <v>0.98819732966490459</v>
      </c>
      <c r="T76" s="18" t="str">
        <f t="shared" si="9"/>
        <v>🟡 Mid</v>
      </c>
    </row>
    <row r="77" spans="1:20" x14ac:dyDescent="0.3">
      <c r="A77" s="17">
        <v>76</v>
      </c>
      <c r="B77" s="3" t="s">
        <v>60</v>
      </c>
      <c r="C77" s="3" t="s">
        <v>40</v>
      </c>
      <c r="D77" s="3" t="s">
        <v>46</v>
      </c>
      <c r="E77" s="3" t="s">
        <v>61</v>
      </c>
      <c r="F77" s="3" t="s">
        <v>31</v>
      </c>
      <c r="G77" s="3" t="s">
        <v>43</v>
      </c>
      <c r="H77" s="3" t="s">
        <v>58</v>
      </c>
      <c r="I77" s="3" t="s">
        <v>27</v>
      </c>
      <c r="J77" s="6">
        <v>2024</v>
      </c>
      <c r="K77" s="3">
        <v>2444.38</v>
      </c>
      <c r="L77" s="3">
        <v>484123</v>
      </c>
      <c r="M77" s="3">
        <v>10090</v>
      </c>
      <c r="N77" s="3">
        <v>412</v>
      </c>
      <c r="O77" s="3">
        <v>1614.62</v>
      </c>
      <c r="P77" s="9">
        <f t="shared" si="5"/>
        <v>2.084181086211562</v>
      </c>
      <c r="Q77" s="11">
        <f t="shared" si="6"/>
        <v>0.16002180376610503</v>
      </c>
      <c r="R77" s="13">
        <f t="shared" si="7"/>
        <v>3.9189805825242714</v>
      </c>
      <c r="S77" s="4">
        <f t="shared" si="8"/>
        <v>1.5139042003691272</v>
      </c>
      <c r="T77" s="19" t="str">
        <f t="shared" si="9"/>
        <v>🟡 Mid</v>
      </c>
    </row>
    <row r="78" spans="1:20" x14ac:dyDescent="0.3">
      <c r="A78" s="16">
        <v>77</v>
      </c>
      <c r="B78" s="1" t="s">
        <v>49</v>
      </c>
      <c r="C78" s="1" t="s">
        <v>21</v>
      </c>
      <c r="D78" s="1" t="s">
        <v>22</v>
      </c>
      <c r="E78" s="1" t="s">
        <v>56</v>
      </c>
      <c r="F78" s="1" t="s">
        <v>47</v>
      </c>
      <c r="G78" s="1" t="s">
        <v>43</v>
      </c>
      <c r="H78" s="1" t="s">
        <v>79</v>
      </c>
      <c r="I78" s="1" t="s">
        <v>45</v>
      </c>
      <c r="J78" s="5">
        <v>2024</v>
      </c>
      <c r="K78" s="1">
        <v>13171.81</v>
      </c>
      <c r="L78" s="1">
        <v>349525</v>
      </c>
      <c r="M78" s="1">
        <v>4522</v>
      </c>
      <c r="N78" s="1">
        <v>48</v>
      </c>
      <c r="O78" s="1">
        <v>9654.91</v>
      </c>
      <c r="P78" s="8">
        <f t="shared" si="5"/>
        <v>1.2937558114584078</v>
      </c>
      <c r="Q78" s="10">
        <f t="shared" si="6"/>
        <v>2.1350973020787261</v>
      </c>
      <c r="R78" s="12">
        <f t="shared" si="7"/>
        <v>201.14395833333333</v>
      </c>
      <c r="S78" s="2">
        <f t="shared" si="8"/>
        <v>1.3642602572162765</v>
      </c>
      <c r="T78" s="18" t="str">
        <f t="shared" si="9"/>
        <v>🔴 Low</v>
      </c>
    </row>
    <row r="79" spans="1:20" x14ac:dyDescent="0.3">
      <c r="A79" s="17">
        <v>78</v>
      </c>
      <c r="B79" s="3" t="s">
        <v>53</v>
      </c>
      <c r="C79" s="3" t="s">
        <v>21</v>
      </c>
      <c r="D79" s="3" t="s">
        <v>29</v>
      </c>
      <c r="E79" s="3" t="s">
        <v>42</v>
      </c>
      <c r="F79" s="3" t="s">
        <v>31</v>
      </c>
      <c r="G79" s="3" t="s">
        <v>57</v>
      </c>
      <c r="H79" s="3" t="s">
        <v>83</v>
      </c>
      <c r="I79" s="3" t="s">
        <v>38</v>
      </c>
      <c r="J79" s="6">
        <v>2024</v>
      </c>
      <c r="K79" s="3">
        <v>19949.810000000001</v>
      </c>
      <c r="L79" s="3">
        <v>788041</v>
      </c>
      <c r="M79" s="3">
        <v>394</v>
      </c>
      <c r="N79" s="3">
        <v>5</v>
      </c>
      <c r="O79" s="3">
        <v>20167.3</v>
      </c>
      <c r="P79" s="9">
        <f t="shared" si="5"/>
        <v>4.9997398612508744E-2</v>
      </c>
      <c r="Q79" s="11">
        <f t="shared" si="6"/>
        <v>51.186040609137052</v>
      </c>
      <c r="R79" s="13">
        <f t="shared" si="7"/>
        <v>4033.46</v>
      </c>
      <c r="S79" s="4">
        <f t="shared" si="8"/>
        <v>0.98921571058099012</v>
      </c>
      <c r="T79" s="19" t="str">
        <f t="shared" si="9"/>
        <v>🔴 Low</v>
      </c>
    </row>
    <row r="80" spans="1:20" x14ac:dyDescent="0.3">
      <c r="A80" s="16">
        <v>79</v>
      </c>
      <c r="B80" s="1" t="s">
        <v>20</v>
      </c>
      <c r="C80" s="1" t="s">
        <v>21</v>
      </c>
      <c r="D80" s="1" t="s">
        <v>41</v>
      </c>
      <c r="E80" s="1" t="s">
        <v>30</v>
      </c>
      <c r="F80" s="1" t="s">
        <v>31</v>
      </c>
      <c r="G80" s="1" t="s">
        <v>43</v>
      </c>
      <c r="H80" s="1" t="s">
        <v>68</v>
      </c>
      <c r="I80" s="1" t="s">
        <v>27</v>
      </c>
      <c r="J80" s="5">
        <v>2023</v>
      </c>
      <c r="K80" s="1">
        <v>6825.31</v>
      </c>
      <c r="L80" s="1">
        <v>63845</v>
      </c>
      <c r="M80" s="1">
        <v>363</v>
      </c>
      <c r="N80" s="1">
        <v>26</v>
      </c>
      <c r="O80" s="1">
        <v>5617.84</v>
      </c>
      <c r="P80" s="8">
        <f t="shared" si="5"/>
        <v>0.56856449212937588</v>
      </c>
      <c r="Q80" s="10">
        <f t="shared" si="6"/>
        <v>15.476143250688706</v>
      </c>
      <c r="R80" s="12">
        <f t="shared" si="7"/>
        <v>216.07076923076923</v>
      </c>
      <c r="S80" s="2">
        <f t="shared" si="8"/>
        <v>1.214934921606881</v>
      </c>
      <c r="T80" s="18" t="str">
        <f t="shared" si="9"/>
        <v>🔴 Low</v>
      </c>
    </row>
    <row r="81" spans="1:20" x14ac:dyDescent="0.3">
      <c r="A81" s="17">
        <v>80</v>
      </c>
      <c r="B81" s="3" t="s">
        <v>69</v>
      </c>
      <c r="C81" s="3" t="s">
        <v>21</v>
      </c>
      <c r="D81" s="3" t="s">
        <v>46</v>
      </c>
      <c r="E81" s="3" t="s">
        <v>30</v>
      </c>
      <c r="F81" s="3" t="s">
        <v>24</v>
      </c>
      <c r="G81" s="3" t="s">
        <v>32</v>
      </c>
      <c r="H81" s="3" t="s">
        <v>33</v>
      </c>
      <c r="I81" s="3" t="s">
        <v>34</v>
      </c>
      <c r="J81" s="6">
        <v>2023</v>
      </c>
      <c r="K81" s="3">
        <v>10204.51</v>
      </c>
      <c r="L81" s="3">
        <v>616484</v>
      </c>
      <c r="M81" s="3">
        <v>7192</v>
      </c>
      <c r="N81" s="3">
        <v>349</v>
      </c>
      <c r="O81" s="3">
        <v>8099.15</v>
      </c>
      <c r="P81" s="9">
        <f t="shared" si="5"/>
        <v>1.1666158408004101</v>
      </c>
      <c r="Q81" s="11">
        <f t="shared" si="6"/>
        <v>1.1261332035595104</v>
      </c>
      <c r="R81" s="13">
        <f t="shared" si="7"/>
        <v>23.2067335243553</v>
      </c>
      <c r="S81" s="4">
        <f t="shared" si="8"/>
        <v>1.2599482661760804</v>
      </c>
      <c r="T81" s="19" t="str">
        <f t="shared" si="9"/>
        <v>🔴 Low</v>
      </c>
    </row>
    <row r="82" spans="1:20" x14ac:dyDescent="0.3">
      <c r="A82" s="16">
        <v>81</v>
      </c>
      <c r="B82" s="1" t="s">
        <v>67</v>
      </c>
      <c r="C82" s="1" t="s">
        <v>40</v>
      </c>
      <c r="D82" s="1" t="s">
        <v>13</v>
      </c>
      <c r="E82" s="1" t="s">
        <v>42</v>
      </c>
      <c r="F82" s="1" t="s">
        <v>47</v>
      </c>
      <c r="G82" s="1" t="s">
        <v>43</v>
      </c>
      <c r="H82" s="1" t="s">
        <v>44</v>
      </c>
      <c r="I82" s="1" t="s">
        <v>45</v>
      </c>
      <c r="J82" s="5">
        <v>2023</v>
      </c>
      <c r="K82" s="1">
        <v>1940.31</v>
      </c>
      <c r="L82" s="1">
        <v>367351</v>
      </c>
      <c r="M82" s="1">
        <v>7421</v>
      </c>
      <c r="N82" s="1">
        <v>870</v>
      </c>
      <c r="O82" s="1">
        <v>1726.74</v>
      </c>
      <c r="P82" s="8">
        <f t="shared" si="5"/>
        <v>2.020138777354628</v>
      </c>
      <c r="Q82" s="10">
        <f t="shared" si="6"/>
        <v>0.23268292682926831</v>
      </c>
      <c r="R82" s="12">
        <f t="shared" si="7"/>
        <v>1.9847586206896553</v>
      </c>
      <c r="S82" s="2">
        <f t="shared" si="8"/>
        <v>1.1236839362034816</v>
      </c>
      <c r="T82" s="18" t="str">
        <f t="shared" si="9"/>
        <v>🟡 Mid</v>
      </c>
    </row>
    <row r="83" spans="1:20" x14ac:dyDescent="0.3">
      <c r="A83" s="17">
        <v>82</v>
      </c>
      <c r="B83" s="3" t="s">
        <v>77</v>
      </c>
      <c r="C83" s="3" t="s">
        <v>40</v>
      </c>
      <c r="D83" s="3" t="s">
        <v>46</v>
      </c>
      <c r="E83" s="3" t="s">
        <v>56</v>
      </c>
      <c r="F83" s="3" t="s">
        <v>47</v>
      </c>
      <c r="G83" s="3" t="s">
        <v>57</v>
      </c>
      <c r="H83" s="3" t="s">
        <v>83</v>
      </c>
      <c r="I83" s="3" t="s">
        <v>38</v>
      </c>
      <c r="J83" s="6">
        <v>2024</v>
      </c>
      <c r="K83" s="3">
        <v>11652.49</v>
      </c>
      <c r="L83" s="3">
        <v>607733</v>
      </c>
      <c r="M83" s="3">
        <v>9525</v>
      </c>
      <c r="N83" s="3">
        <v>550</v>
      </c>
      <c r="O83" s="3">
        <v>10413.799999999999</v>
      </c>
      <c r="P83" s="9">
        <f t="shared" si="5"/>
        <v>1.567300113701247</v>
      </c>
      <c r="Q83" s="11">
        <f t="shared" si="6"/>
        <v>1.0933123359580053</v>
      </c>
      <c r="R83" s="13">
        <f t="shared" si="7"/>
        <v>18.934181818181816</v>
      </c>
      <c r="S83" s="4">
        <f t="shared" si="8"/>
        <v>1.1189469742073019</v>
      </c>
      <c r="T83" s="19" t="str">
        <f t="shared" si="9"/>
        <v>🟡 Mid</v>
      </c>
    </row>
    <row r="84" spans="1:20" x14ac:dyDescent="0.3">
      <c r="A84" s="16">
        <v>83</v>
      </c>
      <c r="B84" s="1" t="s">
        <v>75</v>
      </c>
      <c r="C84" s="1" t="s">
        <v>36</v>
      </c>
      <c r="D84" s="1" t="s">
        <v>13</v>
      </c>
      <c r="E84" s="1" t="s">
        <v>42</v>
      </c>
      <c r="F84" s="1" t="s">
        <v>31</v>
      </c>
      <c r="G84" s="1" t="s">
        <v>57</v>
      </c>
      <c r="H84" s="1" t="s">
        <v>79</v>
      </c>
      <c r="I84" s="1" t="s">
        <v>45</v>
      </c>
      <c r="J84" s="5">
        <v>2024</v>
      </c>
      <c r="K84" s="1">
        <v>16740.36</v>
      </c>
      <c r="L84" s="1">
        <v>305096</v>
      </c>
      <c r="M84" s="1">
        <v>8720</v>
      </c>
      <c r="N84" s="1">
        <v>925</v>
      </c>
      <c r="O84" s="1">
        <v>11584.03</v>
      </c>
      <c r="P84" s="8">
        <f t="shared" si="5"/>
        <v>2.8581167894695438</v>
      </c>
      <c r="Q84" s="10">
        <f t="shared" si="6"/>
        <v>1.3284438073394496</v>
      </c>
      <c r="R84" s="12">
        <f t="shared" si="7"/>
        <v>12.523275675675677</v>
      </c>
      <c r="S84" s="2">
        <f t="shared" si="8"/>
        <v>1.4451240198790922</v>
      </c>
      <c r="T84" s="18" t="str">
        <f t="shared" si="9"/>
        <v>🟡 Mid</v>
      </c>
    </row>
    <row r="85" spans="1:20" x14ac:dyDescent="0.3">
      <c r="A85" s="17">
        <v>84</v>
      </c>
      <c r="B85" s="3" t="s">
        <v>94</v>
      </c>
      <c r="C85" s="3" t="s">
        <v>36</v>
      </c>
      <c r="D85" s="3" t="s">
        <v>46</v>
      </c>
      <c r="E85" s="3" t="s">
        <v>42</v>
      </c>
      <c r="F85" s="3" t="s">
        <v>31</v>
      </c>
      <c r="G85" s="3" t="s">
        <v>57</v>
      </c>
      <c r="H85" s="3" t="s">
        <v>52</v>
      </c>
      <c r="I85" s="3" t="s">
        <v>38</v>
      </c>
      <c r="J85" s="6">
        <v>2024</v>
      </c>
      <c r="K85" s="3">
        <v>1150.6099999999999</v>
      </c>
      <c r="L85" s="3">
        <v>387584</v>
      </c>
      <c r="M85" s="3">
        <v>9469</v>
      </c>
      <c r="N85" s="3">
        <v>794</v>
      </c>
      <c r="O85" s="3">
        <v>733.92</v>
      </c>
      <c r="P85" s="9">
        <f t="shared" si="5"/>
        <v>2.4430833058124173</v>
      </c>
      <c r="Q85" s="11">
        <f t="shared" si="6"/>
        <v>7.750765656352307E-2</v>
      </c>
      <c r="R85" s="13">
        <f t="shared" si="7"/>
        <v>0.92433249370277071</v>
      </c>
      <c r="S85" s="4">
        <f t="shared" si="8"/>
        <v>1.5677594288205798</v>
      </c>
      <c r="T85" s="19" t="str">
        <f t="shared" si="9"/>
        <v>🟡 Mid</v>
      </c>
    </row>
    <row r="86" spans="1:20" x14ac:dyDescent="0.3">
      <c r="A86" s="16">
        <v>85</v>
      </c>
      <c r="B86" s="1" t="s">
        <v>96</v>
      </c>
      <c r="C86" s="1" t="s">
        <v>40</v>
      </c>
      <c r="D86" s="1" t="s">
        <v>41</v>
      </c>
      <c r="E86" s="1" t="s">
        <v>30</v>
      </c>
      <c r="F86" s="1" t="s">
        <v>24</v>
      </c>
      <c r="G86" s="1" t="s">
        <v>25</v>
      </c>
      <c r="H86" s="1" t="s">
        <v>81</v>
      </c>
      <c r="I86" s="1" t="s">
        <v>34</v>
      </c>
      <c r="J86" s="5">
        <v>2024</v>
      </c>
      <c r="K86" s="1">
        <v>10851.62</v>
      </c>
      <c r="L86" s="1">
        <v>290765</v>
      </c>
      <c r="M86" s="1">
        <v>5194</v>
      </c>
      <c r="N86" s="1">
        <v>654</v>
      </c>
      <c r="O86" s="1">
        <v>8707.08</v>
      </c>
      <c r="P86" s="8">
        <f t="shared" si="5"/>
        <v>1.786322287758155</v>
      </c>
      <c r="Q86" s="10">
        <f t="shared" si="6"/>
        <v>1.6763727377743549</v>
      </c>
      <c r="R86" s="12">
        <f t="shared" si="7"/>
        <v>13.313577981651376</v>
      </c>
      <c r="S86" s="2">
        <f t="shared" si="8"/>
        <v>1.2462984146235019</v>
      </c>
      <c r="T86" s="18" t="str">
        <f t="shared" si="9"/>
        <v>🟡 Mid</v>
      </c>
    </row>
    <row r="87" spans="1:20" x14ac:dyDescent="0.3">
      <c r="A87" s="17">
        <v>86</v>
      </c>
      <c r="B87" s="3" t="s">
        <v>96</v>
      </c>
      <c r="C87" s="3" t="s">
        <v>40</v>
      </c>
      <c r="D87" s="3" t="s">
        <v>22</v>
      </c>
      <c r="E87" s="3" t="s">
        <v>56</v>
      </c>
      <c r="F87" s="3" t="s">
        <v>24</v>
      </c>
      <c r="G87" s="3" t="s">
        <v>25</v>
      </c>
      <c r="H87" s="3" t="s">
        <v>83</v>
      </c>
      <c r="I87" s="3" t="s">
        <v>38</v>
      </c>
      <c r="J87" s="6">
        <v>2024</v>
      </c>
      <c r="K87" s="3">
        <v>19361.759999999998</v>
      </c>
      <c r="L87" s="3">
        <v>589384</v>
      </c>
      <c r="M87" s="3">
        <v>7443</v>
      </c>
      <c r="N87" s="3">
        <v>78</v>
      </c>
      <c r="O87" s="3">
        <v>18046.830000000002</v>
      </c>
      <c r="P87" s="9">
        <f t="shared" si="5"/>
        <v>1.262843918396156</v>
      </c>
      <c r="Q87" s="11">
        <f t="shared" si="6"/>
        <v>2.4246715034260382</v>
      </c>
      <c r="R87" s="13">
        <f t="shared" si="7"/>
        <v>231.3696153846154</v>
      </c>
      <c r="S87" s="4">
        <f t="shared" si="8"/>
        <v>1.0728621037600508</v>
      </c>
      <c r="T87" s="19" t="str">
        <f t="shared" si="9"/>
        <v>🔴 Low</v>
      </c>
    </row>
    <row r="88" spans="1:20" x14ac:dyDescent="0.3">
      <c r="A88" s="16">
        <v>87</v>
      </c>
      <c r="B88" s="1" t="s">
        <v>94</v>
      </c>
      <c r="C88" s="1" t="s">
        <v>36</v>
      </c>
      <c r="D88" s="1" t="s">
        <v>29</v>
      </c>
      <c r="E88" s="1" t="s">
        <v>42</v>
      </c>
      <c r="F88" s="1" t="s">
        <v>47</v>
      </c>
      <c r="G88" s="1" t="s">
        <v>43</v>
      </c>
      <c r="H88" s="1" t="s">
        <v>44</v>
      </c>
      <c r="I88" s="1" t="s">
        <v>45</v>
      </c>
      <c r="J88" s="5">
        <v>2024</v>
      </c>
      <c r="K88" s="1">
        <v>11898.92</v>
      </c>
      <c r="L88" s="1">
        <v>674567</v>
      </c>
      <c r="M88" s="1">
        <v>20390</v>
      </c>
      <c r="N88" s="1">
        <v>346</v>
      </c>
      <c r="O88" s="1">
        <v>7264.41</v>
      </c>
      <c r="P88" s="8">
        <f t="shared" si="5"/>
        <v>3.022679733814432</v>
      </c>
      <c r="Q88" s="10">
        <f t="shared" si="6"/>
        <v>0.35627317312408041</v>
      </c>
      <c r="R88" s="12">
        <f t="shared" si="7"/>
        <v>20.995404624277455</v>
      </c>
      <c r="S88" s="2">
        <f t="shared" si="8"/>
        <v>1.6379747288492803</v>
      </c>
      <c r="T88" s="18" t="str">
        <f t="shared" si="9"/>
        <v>🟢 High</v>
      </c>
    </row>
    <row r="89" spans="1:20" x14ac:dyDescent="0.3">
      <c r="A89" s="17">
        <v>88</v>
      </c>
      <c r="B89" s="3" t="s">
        <v>78</v>
      </c>
      <c r="C89" s="3" t="s">
        <v>21</v>
      </c>
      <c r="D89" s="3" t="s">
        <v>29</v>
      </c>
      <c r="E89" s="3" t="s">
        <v>30</v>
      </c>
      <c r="F89" s="3" t="s">
        <v>31</v>
      </c>
      <c r="G89" s="3" t="s">
        <v>57</v>
      </c>
      <c r="H89" s="3" t="s">
        <v>44</v>
      </c>
      <c r="I89" s="3" t="s">
        <v>45</v>
      </c>
      <c r="J89" s="6">
        <v>2024</v>
      </c>
      <c r="K89" s="3">
        <v>18233.060000000001</v>
      </c>
      <c r="L89" s="3">
        <v>321869</v>
      </c>
      <c r="M89" s="3">
        <v>1970</v>
      </c>
      <c r="N89" s="3">
        <v>58</v>
      </c>
      <c r="O89" s="3">
        <v>11833.33</v>
      </c>
      <c r="P89" s="9">
        <f t="shared" si="5"/>
        <v>0.61205024404338415</v>
      </c>
      <c r="Q89" s="11">
        <f t="shared" si="6"/>
        <v>6.0067664974619293</v>
      </c>
      <c r="R89" s="13">
        <f t="shared" si="7"/>
        <v>204.02293103448275</v>
      </c>
      <c r="S89" s="4">
        <f t="shared" si="8"/>
        <v>1.5408224058654665</v>
      </c>
      <c r="T89" s="19" t="str">
        <f t="shared" si="9"/>
        <v>🔴 Low</v>
      </c>
    </row>
    <row r="90" spans="1:20" x14ac:dyDescent="0.3">
      <c r="A90" s="16">
        <v>89</v>
      </c>
      <c r="B90" s="1" t="s">
        <v>98</v>
      </c>
      <c r="C90" s="1" t="s">
        <v>36</v>
      </c>
      <c r="D90" s="1" t="s">
        <v>13</v>
      </c>
      <c r="E90" s="1" t="s">
        <v>56</v>
      </c>
      <c r="F90" s="1" t="s">
        <v>24</v>
      </c>
      <c r="G90" s="1" t="s">
        <v>57</v>
      </c>
      <c r="H90" s="1" t="s">
        <v>83</v>
      </c>
      <c r="I90" s="1" t="s">
        <v>38</v>
      </c>
      <c r="J90" s="5">
        <v>2023</v>
      </c>
      <c r="K90" s="1">
        <v>8078.59</v>
      </c>
      <c r="L90" s="1">
        <v>394033</v>
      </c>
      <c r="M90" s="1">
        <v>9476</v>
      </c>
      <c r="N90" s="1">
        <v>1101</v>
      </c>
      <c r="O90" s="1">
        <v>6269.25</v>
      </c>
      <c r="P90" s="8">
        <f t="shared" si="5"/>
        <v>2.4048747186149382</v>
      </c>
      <c r="Q90" s="10">
        <f t="shared" si="6"/>
        <v>0.66159244406922757</v>
      </c>
      <c r="R90" s="12">
        <f t="shared" si="7"/>
        <v>5.6941416893732972</v>
      </c>
      <c r="S90" s="2">
        <f t="shared" si="8"/>
        <v>1.2886054950751684</v>
      </c>
      <c r="T90" s="18" t="str">
        <f t="shared" si="9"/>
        <v>🟡 Mid</v>
      </c>
    </row>
    <row r="91" spans="1:20" x14ac:dyDescent="0.3">
      <c r="A91" s="17">
        <v>90</v>
      </c>
      <c r="B91" s="3" t="s">
        <v>49</v>
      </c>
      <c r="C91" s="3" t="s">
        <v>21</v>
      </c>
      <c r="D91" s="3" t="s">
        <v>41</v>
      </c>
      <c r="E91" s="3" t="s">
        <v>42</v>
      </c>
      <c r="F91" s="3" t="s">
        <v>47</v>
      </c>
      <c r="G91" s="3" t="s">
        <v>32</v>
      </c>
      <c r="H91" s="3" t="s">
        <v>33</v>
      </c>
      <c r="I91" s="3" t="s">
        <v>34</v>
      </c>
      <c r="J91" s="6">
        <v>2024</v>
      </c>
      <c r="K91" s="3">
        <v>1137.97</v>
      </c>
      <c r="L91" s="3">
        <v>393528</v>
      </c>
      <c r="M91" s="3">
        <v>196</v>
      </c>
      <c r="N91" s="3">
        <v>15</v>
      </c>
      <c r="O91" s="3">
        <v>895.32</v>
      </c>
      <c r="P91" s="9">
        <f t="shared" si="5"/>
        <v>4.9805858795308085E-2</v>
      </c>
      <c r="Q91" s="11">
        <f t="shared" si="6"/>
        <v>4.5679591836734694</v>
      </c>
      <c r="R91" s="13">
        <f t="shared" si="7"/>
        <v>59.688000000000002</v>
      </c>
      <c r="S91" s="4">
        <f t="shared" si="8"/>
        <v>1.271020417280972</v>
      </c>
      <c r="T91" s="19" t="str">
        <f t="shared" si="9"/>
        <v>🔴 Low</v>
      </c>
    </row>
    <row r="92" spans="1:20" x14ac:dyDescent="0.3">
      <c r="A92" s="16">
        <v>91</v>
      </c>
      <c r="B92" s="1" t="s">
        <v>72</v>
      </c>
      <c r="C92" s="1" t="s">
        <v>36</v>
      </c>
      <c r="D92" s="1" t="s">
        <v>22</v>
      </c>
      <c r="E92" s="1" t="s">
        <v>23</v>
      </c>
      <c r="F92" s="1" t="s">
        <v>31</v>
      </c>
      <c r="G92" s="1" t="s">
        <v>43</v>
      </c>
      <c r="H92" s="1" t="s">
        <v>68</v>
      </c>
      <c r="I92" s="1" t="s">
        <v>27</v>
      </c>
      <c r="J92" s="5">
        <v>2024</v>
      </c>
      <c r="K92" s="1">
        <v>5879.69</v>
      </c>
      <c r="L92" s="1">
        <v>133093</v>
      </c>
      <c r="M92" s="1">
        <v>4904</v>
      </c>
      <c r="N92" s="1">
        <v>31</v>
      </c>
      <c r="O92" s="1">
        <v>4051.6</v>
      </c>
      <c r="P92" s="8">
        <f t="shared" si="5"/>
        <v>3.6846415664234784</v>
      </c>
      <c r="Q92" s="10">
        <f t="shared" si="6"/>
        <v>0.82618270799347471</v>
      </c>
      <c r="R92" s="12">
        <f t="shared" si="7"/>
        <v>130.69677419354838</v>
      </c>
      <c r="S92" s="2">
        <f t="shared" si="8"/>
        <v>1.451201994273867</v>
      </c>
      <c r="T92" s="18" t="str">
        <f t="shared" si="9"/>
        <v>🟢 High</v>
      </c>
    </row>
    <row r="93" spans="1:20" x14ac:dyDescent="0.3">
      <c r="A93" s="17">
        <v>92</v>
      </c>
      <c r="B93" s="3" t="s">
        <v>28</v>
      </c>
      <c r="C93" s="3" t="s">
        <v>21</v>
      </c>
      <c r="D93" s="3" t="s">
        <v>22</v>
      </c>
      <c r="E93" s="3" t="s">
        <v>23</v>
      </c>
      <c r="F93" s="3" t="s">
        <v>24</v>
      </c>
      <c r="G93" s="3" t="s">
        <v>25</v>
      </c>
      <c r="H93" s="3" t="s">
        <v>79</v>
      </c>
      <c r="I93" s="3" t="s">
        <v>45</v>
      </c>
      <c r="J93" s="6">
        <v>2023</v>
      </c>
      <c r="K93" s="3">
        <v>1837.9</v>
      </c>
      <c r="L93" s="3">
        <v>586128</v>
      </c>
      <c r="M93" s="3">
        <v>2382</v>
      </c>
      <c r="N93" s="3">
        <v>19</v>
      </c>
      <c r="O93" s="3">
        <v>1269.44</v>
      </c>
      <c r="P93" s="9">
        <f t="shared" si="5"/>
        <v>0.4063958725739088</v>
      </c>
      <c r="Q93" s="11">
        <f t="shared" si="6"/>
        <v>0.5329303106633082</v>
      </c>
      <c r="R93" s="13">
        <f t="shared" si="7"/>
        <v>66.812631578947375</v>
      </c>
      <c r="S93" s="4">
        <f t="shared" si="8"/>
        <v>1.4478037559868919</v>
      </c>
      <c r="T93" s="19" t="str">
        <f t="shared" si="9"/>
        <v>🔴 Low</v>
      </c>
    </row>
    <row r="94" spans="1:20" x14ac:dyDescent="0.3">
      <c r="A94" s="16">
        <v>93</v>
      </c>
      <c r="B94" s="1" t="s">
        <v>99</v>
      </c>
      <c r="C94" s="1" t="s">
        <v>36</v>
      </c>
      <c r="D94" s="1" t="s">
        <v>46</v>
      </c>
      <c r="E94" s="1" t="s">
        <v>61</v>
      </c>
      <c r="F94" s="1" t="s">
        <v>24</v>
      </c>
      <c r="G94" s="1" t="s">
        <v>43</v>
      </c>
      <c r="H94" s="1" t="s">
        <v>26</v>
      </c>
      <c r="I94" s="1" t="s">
        <v>27</v>
      </c>
      <c r="J94" s="5">
        <v>2023</v>
      </c>
      <c r="K94" s="1">
        <v>11034.2</v>
      </c>
      <c r="L94" s="1">
        <v>187973</v>
      </c>
      <c r="M94" s="1">
        <v>6716</v>
      </c>
      <c r="N94" s="1">
        <v>321</v>
      </c>
      <c r="O94" s="1">
        <v>8280.75</v>
      </c>
      <c r="P94" s="8">
        <f t="shared" si="5"/>
        <v>3.5728535481159529</v>
      </c>
      <c r="Q94" s="10">
        <f t="shared" si="6"/>
        <v>1.2329883859440143</v>
      </c>
      <c r="R94" s="12">
        <f t="shared" si="7"/>
        <v>25.796728971962615</v>
      </c>
      <c r="S94" s="2">
        <f t="shared" si="8"/>
        <v>1.3325121516770824</v>
      </c>
      <c r="T94" s="18" t="str">
        <f t="shared" si="9"/>
        <v>🟢 High</v>
      </c>
    </row>
    <row r="95" spans="1:20" x14ac:dyDescent="0.3">
      <c r="A95" s="17">
        <v>94</v>
      </c>
      <c r="B95" s="3" t="s">
        <v>72</v>
      </c>
      <c r="C95" s="3" t="s">
        <v>36</v>
      </c>
      <c r="D95" s="3" t="s">
        <v>22</v>
      </c>
      <c r="E95" s="3" t="s">
        <v>30</v>
      </c>
      <c r="F95" s="3" t="s">
        <v>47</v>
      </c>
      <c r="G95" s="3" t="s">
        <v>57</v>
      </c>
      <c r="H95" s="3" t="s">
        <v>26</v>
      </c>
      <c r="I95" s="3" t="s">
        <v>27</v>
      </c>
      <c r="J95" s="6">
        <v>2024</v>
      </c>
      <c r="K95" s="3">
        <v>10758.67</v>
      </c>
      <c r="L95" s="3">
        <v>786886</v>
      </c>
      <c r="M95" s="3">
        <v>27062</v>
      </c>
      <c r="N95" s="3">
        <v>161</v>
      </c>
      <c r="O95" s="3">
        <v>8480.7999999999993</v>
      </c>
      <c r="P95" s="9">
        <f t="shared" si="5"/>
        <v>3.4391258708377075</v>
      </c>
      <c r="Q95" s="11">
        <f t="shared" si="6"/>
        <v>0.31338408099918702</v>
      </c>
      <c r="R95" s="13">
        <f t="shared" si="7"/>
        <v>52.67577639751552</v>
      </c>
      <c r="S95" s="4">
        <f t="shared" si="8"/>
        <v>1.2685914064710877</v>
      </c>
      <c r="T95" s="19" t="str">
        <f t="shared" si="9"/>
        <v>🟢 High</v>
      </c>
    </row>
    <row r="96" spans="1:20" x14ac:dyDescent="0.3">
      <c r="A96" s="16">
        <v>95</v>
      </c>
      <c r="B96" s="1" t="s">
        <v>39</v>
      </c>
      <c r="C96" s="1" t="s">
        <v>40</v>
      </c>
      <c r="D96" s="1" t="s">
        <v>41</v>
      </c>
      <c r="E96" s="1" t="s">
        <v>61</v>
      </c>
      <c r="F96" s="1" t="s">
        <v>24</v>
      </c>
      <c r="G96" s="1" t="s">
        <v>32</v>
      </c>
      <c r="H96" s="1" t="s">
        <v>68</v>
      </c>
      <c r="I96" s="1" t="s">
        <v>27</v>
      </c>
      <c r="J96" s="5">
        <v>2024</v>
      </c>
      <c r="K96" s="1">
        <v>9431.83</v>
      </c>
      <c r="L96" s="1">
        <v>37663</v>
      </c>
      <c r="M96" s="1">
        <v>802</v>
      </c>
      <c r="N96" s="1">
        <v>73</v>
      </c>
      <c r="O96" s="1">
        <v>8376.98</v>
      </c>
      <c r="P96" s="8">
        <f t="shared" si="5"/>
        <v>2.1294108276026869</v>
      </c>
      <c r="Q96" s="10">
        <f t="shared" si="6"/>
        <v>10.445112219451371</v>
      </c>
      <c r="R96" s="12">
        <f t="shared" si="7"/>
        <v>114.7531506849315</v>
      </c>
      <c r="S96" s="2">
        <f t="shared" si="8"/>
        <v>1.1259224684790941</v>
      </c>
      <c r="T96" s="18" t="str">
        <f t="shared" si="9"/>
        <v>🟡 Mid</v>
      </c>
    </row>
    <row r="97" spans="1:20" x14ac:dyDescent="0.3">
      <c r="A97" s="17">
        <v>96</v>
      </c>
      <c r="B97" s="3" t="s">
        <v>67</v>
      </c>
      <c r="C97" s="3" t="s">
        <v>40</v>
      </c>
      <c r="D97" s="3" t="s">
        <v>22</v>
      </c>
      <c r="E97" s="3" t="s">
        <v>42</v>
      </c>
      <c r="F97" s="3" t="s">
        <v>47</v>
      </c>
      <c r="G97" s="3" t="s">
        <v>32</v>
      </c>
      <c r="H97" s="3" t="s">
        <v>26</v>
      </c>
      <c r="I97" s="3" t="s">
        <v>27</v>
      </c>
      <c r="J97" s="6">
        <v>2023</v>
      </c>
      <c r="K97" s="3">
        <v>2960.74</v>
      </c>
      <c r="L97" s="3">
        <v>659644</v>
      </c>
      <c r="M97" s="3">
        <v>11958</v>
      </c>
      <c r="N97" s="3">
        <v>173</v>
      </c>
      <c r="O97" s="3">
        <v>2458.33</v>
      </c>
      <c r="P97" s="9">
        <f t="shared" si="5"/>
        <v>1.8127959929901583</v>
      </c>
      <c r="Q97" s="11">
        <f t="shared" si="6"/>
        <v>0.20558036460946646</v>
      </c>
      <c r="R97" s="13">
        <f t="shared" si="7"/>
        <v>14.209999999999999</v>
      </c>
      <c r="S97" s="4">
        <f t="shared" si="8"/>
        <v>1.2043704466039953</v>
      </c>
      <c r="T97" s="19" t="str">
        <f t="shared" si="9"/>
        <v>🟡 Mid</v>
      </c>
    </row>
    <row r="98" spans="1:20" x14ac:dyDescent="0.3">
      <c r="A98" s="16">
        <v>97</v>
      </c>
      <c r="B98" s="1" t="s">
        <v>82</v>
      </c>
      <c r="C98" s="1" t="s">
        <v>40</v>
      </c>
      <c r="D98" s="1" t="s">
        <v>29</v>
      </c>
      <c r="E98" s="1" t="s">
        <v>61</v>
      </c>
      <c r="F98" s="1" t="s">
        <v>47</v>
      </c>
      <c r="G98" s="1" t="s">
        <v>50</v>
      </c>
      <c r="H98" s="1" t="s">
        <v>81</v>
      </c>
      <c r="I98" s="1" t="s">
        <v>34</v>
      </c>
      <c r="J98" s="5">
        <v>2024</v>
      </c>
      <c r="K98" s="1">
        <v>2433.98</v>
      </c>
      <c r="L98" s="1">
        <v>740869</v>
      </c>
      <c r="M98" s="1">
        <v>15919</v>
      </c>
      <c r="N98" s="1">
        <v>578</v>
      </c>
      <c r="O98" s="1">
        <v>2024</v>
      </c>
      <c r="P98" s="8">
        <f t="shared" si="5"/>
        <v>2.148692953815047</v>
      </c>
      <c r="Q98" s="10">
        <f t="shared" si="6"/>
        <v>0.12714366480306552</v>
      </c>
      <c r="R98" s="12">
        <f t="shared" si="7"/>
        <v>3.5017301038062283</v>
      </c>
      <c r="S98" s="2">
        <f t="shared" si="8"/>
        <v>1.2025592885375493</v>
      </c>
      <c r="T98" s="18" t="str">
        <f t="shared" si="9"/>
        <v>🟡 Mid</v>
      </c>
    </row>
    <row r="99" spans="1:20" x14ac:dyDescent="0.3">
      <c r="A99" s="17">
        <v>98</v>
      </c>
      <c r="B99" s="3" t="s">
        <v>75</v>
      </c>
      <c r="C99" s="3" t="s">
        <v>36</v>
      </c>
      <c r="D99" s="3" t="s">
        <v>41</v>
      </c>
      <c r="E99" s="3" t="s">
        <v>30</v>
      </c>
      <c r="F99" s="3" t="s">
        <v>47</v>
      </c>
      <c r="G99" s="3" t="s">
        <v>43</v>
      </c>
      <c r="H99" s="3" t="s">
        <v>48</v>
      </c>
      <c r="I99" s="3" t="s">
        <v>34</v>
      </c>
      <c r="J99" s="6">
        <v>2024</v>
      </c>
      <c r="K99" s="3">
        <v>8611.7999999999993</v>
      </c>
      <c r="L99" s="3">
        <v>104704</v>
      </c>
      <c r="M99" s="3">
        <v>3434</v>
      </c>
      <c r="N99" s="3">
        <v>291</v>
      </c>
      <c r="O99" s="3">
        <v>6297.46</v>
      </c>
      <c r="P99" s="9">
        <f t="shared" si="5"/>
        <v>3.2797218826405872</v>
      </c>
      <c r="Q99" s="11">
        <f t="shared" si="6"/>
        <v>1.8338555620267909</v>
      </c>
      <c r="R99" s="13">
        <f t="shared" si="7"/>
        <v>21.640756013745705</v>
      </c>
      <c r="S99" s="4">
        <f t="shared" si="8"/>
        <v>1.3675037237235328</v>
      </c>
      <c r="T99" s="19" t="str">
        <f t="shared" si="9"/>
        <v>🟢 High</v>
      </c>
    </row>
    <row r="100" spans="1:20" x14ac:dyDescent="0.3">
      <c r="A100" s="16">
        <v>99</v>
      </c>
      <c r="B100" s="1" t="s">
        <v>100</v>
      </c>
      <c r="C100" s="1" t="s">
        <v>40</v>
      </c>
      <c r="D100" s="1" t="s">
        <v>46</v>
      </c>
      <c r="E100" s="1" t="s">
        <v>56</v>
      </c>
      <c r="F100" s="1" t="s">
        <v>24</v>
      </c>
      <c r="G100" s="1" t="s">
        <v>57</v>
      </c>
      <c r="H100" s="1" t="s">
        <v>58</v>
      </c>
      <c r="I100" s="1" t="s">
        <v>27</v>
      </c>
      <c r="J100" s="5">
        <v>2023</v>
      </c>
      <c r="K100" s="1">
        <v>8921.59</v>
      </c>
      <c r="L100" s="1">
        <v>785758</v>
      </c>
      <c r="M100" s="1">
        <v>12067</v>
      </c>
      <c r="N100" s="1">
        <v>885</v>
      </c>
      <c r="O100" s="1">
        <v>7550.48</v>
      </c>
      <c r="P100" s="8">
        <f t="shared" si="5"/>
        <v>1.5357145584263856</v>
      </c>
      <c r="Q100" s="10">
        <f t="shared" si="6"/>
        <v>0.62571310184801521</v>
      </c>
      <c r="R100" s="12">
        <f t="shared" si="7"/>
        <v>8.5316158192090388</v>
      </c>
      <c r="S100" s="2">
        <f t="shared" si="8"/>
        <v>1.1815924285608332</v>
      </c>
      <c r="T100" s="18" t="str">
        <f t="shared" si="9"/>
        <v>🟡 Mid</v>
      </c>
    </row>
    <row r="101" spans="1:20" x14ac:dyDescent="0.3">
      <c r="A101" s="17">
        <v>100</v>
      </c>
      <c r="B101" s="3" t="s">
        <v>95</v>
      </c>
      <c r="C101" s="3" t="s">
        <v>21</v>
      </c>
      <c r="D101" s="3" t="s">
        <v>22</v>
      </c>
      <c r="E101" s="3" t="s">
        <v>56</v>
      </c>
      <c r="F101" s="3" t="s">
        <v>47</v>
      </c>
      <c r="G101" s="3" t="s">
        <v>50</v>
      </c>
      <c r="H101" s="3" t="s">
        <v>54</v>
      </c>
      <c r="I101" s="3" t="s">
        <v>45</v>
      </c>
      <c r="J101" s="6">
        <v>2023</v>
      </c>
      <c r="K101" s="3">
        <v>19383.77</v>
      </c>
      <c r="L101" s="3">
        <v>634575</v>
      </c>
      <c r="M101" s="3">
        <v>317</v>
      </c>
      <c r="N101" s="3">
        <v>3</v>
      </c>
      <c r="O101" s="3">
        <v>12473.69</v>
      </c>
      <c r="P101" s="9">
        <f t="shared" si="5"/>
        <v>4.9954694086593393E-2</v>
      </c>
      <c r="Q101" s="11">
        <f t="shared" si="6"/>
        <v>39.349179810725552</v>
      </c>
      <c r="R101" s="13">
        <f t="shared" si="7"/>
        <v>4157.8966666666665</v>
      </c>
      <c r="S101" s="4">
        <f t="shared" si="8"/>
        <v>1.5539724011098559</v>
      </c>
      <c r="T101" s="19" t="str">
        <f t="shared" si="9"/>
        <v>🔴 Low</v>
      </c>
    </row>
    <row r="102" spans="1:20" x14ac:dyDescent="0.3">
      <c r="A102" s="16">
        <v>101</v>
      </c>
      <c r="B102" s="1" t="s">
        <v>63</v>
      </c>
      <c r="C102" s="1" t="s">
        <v>21</v>
      </c>
      <c r="D102" s="1" t="s">
        <v>46</v>
      </c>
      <c r="E102" s="1" t="s">
        <v>56</v>
      </c>
      <c r="F102" s="1" t="s">
        <v>24</v>
      </c>
      <c r="G102" s="1" t="s">
        <v>57</v>
      </c>
      <c r="H102" s="1" t="s">
        <v>37</v>
      </c>
      <c r="I102" s="1" t="s">
        <v>38</v>
      </c>
      <c r="J102" s="5">
        <v>2024</v>
      </c>
      <c r="K102" s="1">
        <v>2740.26</v>
      </c>
      <c r="L102" s="1">
        <v>297099</v>
      </c>
      <c r="M102" s="1">
        <v>148</v>
      </c>
      <c r="N102" s="1">
        <v>13</v>
      </c>
      <c r="O102" s="1">
        <v>2765.77</v>
      </c>
      <c r="P102" s="8">
        <f t="shared" si="5"/>
        <v>4.9815044816710924E-2</v>
      </c>
      <c r="Q102" s="10">
        <f t="shared" si="6"/>
        <v>18.687635135135135</v>
      </c>
      <c r="R102" s="12">
        <f t="shared" si="7"/>
        <v>212.75153846153847</v>
      </c>
      <c r="S102" s="2">
        <f t="shared" si="8"/>
        <v>0.99077652877860423</v>
      </c>
      <c r="T102" s="18" t="str">
        <f t="shared" si="9"/>
        <v>🔴 Low</v>
      </c>
    </row>
    <row r="103" spans="1:20" x14ac:dyDescent="0.3">
      <c r="A103" s="17">
        <v>102</v>
      </c>
      <c r="B103" s="3" t="s">
        <v>62</v>
      </c>
      <c r="C103" s="3" t="s">
        <v>21</v>
      </c>
      <c r="D103" s="3" t="s">
        <v>29</v>
      </c>
      <c r="E103" s="3" t="s">
        <v>23</v>
      </c>
      <c r="F103" s="3" t="s">
        <v>24</v>
      </c>
      <c r="G103" s="3" t="s">
        <v>25</v>
      </c>
      <c r="H103" s="3" t="s">
        <v>52</v>
      </c>
      <c r="I103" s="3" t="s">
        <v>38</v>
      </c>
      <c r="J103" s="6">
        <v>2024</v>
      </c>
      <c r="K103" s="3">
        <v>18469.98</v>
      </c>
      <c r="L103" s="3">
        <v>373074</v>
      </c>
      <c r="M103" s="3">
        <v>1091</v>
      </c>
      <c r="N103" s="3">
        <v>11</v>
      </c>
      <c r="O103" s="3">
        <v>17829.849999999999</v>
      </c>
      <c r="P103" s="9">
        <f t="shared" si="5"/>
        <v>0.29243528093622179</v>
      </c>
      <c r="Q103" s="11">
        <f t="shared" si="6"/>
        <v>16.342667277726854</v>
      </c>
      <c r="R103" s="13">
        <f t="shared" si="7"/>
        <v>1620.8954545454544</v>
      </c>
      <c r="S103" s="4">
        <f t="shared" si="8"/>
        <v>1.0359021528504166</v>
      </c>
      <c r="T103" s="19" t="str">
        <f t="shared" si="9"/>
        <v>🔴 Low</v>
      </c>
    </row>
    <row r="104" spans="1:20" x14ac:dyDescent="0.3">
      <c r="A104" s="16">
        <v>103</v>
      </c>
      <c r="B104" s="1" t="s">
        <v>90</v>
      </c>
      <c r="C104" s="1" t="s">
        <v>21</v>
      </c>
      <c r="D104" s="1" t="s">
        <v>22</v>
      </c>
      <c r="E104" s="1" t="s">
        <v>30</v>
      </c>
      <c r="F104" s="1" t="s">
        <v>31</v>
      </c>
      <c r="G104" s="1" t="s">
        <v>57</v>
      </c>
      <c r="H104" s="1" t="s">
        <v>58</v>
      </c>
      <c r="I104" s="1" t="s">
        <v>27</v>
      </c>
      <c r="J104" s="5">
        <v>2023</v>
      </c>
      <c r="K104" s="1">
        <v>7835.79</v>
      </c>
      <c r="L104" s="1">
        <v>480682</v>
      </c>
      <c r="M104" s="1">
        <v>2115</v>
      </c>
      <c r="N104" s="1">
        <v>33</v>
      </c>
      <c r="O104" s="1">
        <v>7258.06</v>
      </c>
      <c r="P104" s="8">
        <f t="shared" si="5"/>
        <v>0.43999983356980288</v>
      </c>
      <c r="Q104" s="10">
        <f t="shared" si="6"/>
        <v>3.4317068557919623</v>
      </c>
      <c r="R104" s="12">
        <f t="shared" si="7"/>
        <v>219.94121212121215</v>
      </c>
      <c r="S104" s="2">
        <f t="shared" si="8"/>
        <v>1.079598405083452</v>
      </c>
      <c r="T104" s="18" t="str">
        <f t="shared" si="9"/>
        <v>🔴 Low</v>
      </c>
    </row>
    <row r="105" spans="1:20" x14ac:dyDescent="0.3">
      <c r="A105" s="17">
        <v>104</v>
      </c>
      <c r="B105" s="3" t="s">
        <v>20</v>
      </c>
      <c r="C105" s="3" t="s">
        <v>21</v>
      </c>
      <c r="D105" s="3" t="s">
        <v>22</v>
      </c>
      <c r="E105" s="3" t="s">
        <v>30</v>
      </c>
      <c r="F105" s="3" t="s">
        <v>24</v>
      </c>
      <c r="G105" s="3" t="s">
        <v>32</v>
      </c>
      <c r="H105" s="3" t="s">
        <v>68</v>
      </c>
      <c r="I105" s="3" t="s">
        <v>27</v>
      </c>
      <c r="J105" s="6">
        <v>2023</v>
      </c>
      <c r="K105" s="3">
        <v>5806.01</v>
      </c>
      <c r="L105" s="3">
        <v>699093</v>
      </c>
      <c r="M105" s="3">
        <v>7720</v>
      </c>
      <c r="N105" s="3">
        <v>87</v>
      </c>
      <c r="O105" s="3">
        <v>4963.9799999999996</v>
      </c>
      <c r="P105" s="9">
        <f t="shared" si="5"/>
        <v>1.1042879845742986</v>
      </c>
      <c r="Q105" s="11">
        <f t="shared" si="6"/>
        <v>0.64300259067357513</v>
      </c>
      <c r="R105" s="13">
        <f t="shared" si="7"/>
        <v>57.057241379310341</v>
      </c>
      <c r="S105" s="4">
        <f t="shared" si="8"/>
        <v>1.1696280001128128</v>
      </c>
      <c r="T105" s="19" t="str">
        <f t="shared" si="9"/>
        <v>🔴 Low</v>
      </c>
    </row>
    <row r="106" spans="1:20" x14ac:dyDescent="0.3">
      <c r="A106" s="16">
        <v>105</v>
      </c>
      <c r="B106" s="1" t="s">
        <v>101</v>
      </c>
      <c r="C106" s="1" t="s">
        <v>40</v>
      </c>
      <c r="D106" s="1" t="s">
        <v>46</v>
      </c>
      <c r="E106" s="1" t="s">
        <v>61</v>
      </c>
      <c r="F106" s="1" t="s">
        <v>24</v>
      </c>
      <c r="G106" s="1" t="s">
        <v>43</v>
      </c>
      <c r="H106" s="1" t="s">
        <v>33</v>
      </c>
      <c r="I106" s="1" t="s">
        <v>34</v>
      </c>
      <c r="J106" s="5">
        <v>2023</v>
      </c>
      <c r="K106" s="1">
        <v>6023.31</v>
      </c>
      <c r="L106" s="1">
        <v>716444</v>
      </c>
      <c r="M106" s="1">
        <v>7809</v>
      </c>
      <c r="N106" s="1">
        <v>456</v>
      </c>
      <c r="O106" s="1">
        <v>4171.8500000000004</v>
      </c>
      <c r="P106" s="8">
        <f t="shared" si="5"/>
        <v>1.089966557051214</v>
      </c>
      <c r="Q106" s="10">
        <f t="shared" si="6"/>
        <v>0.53423613778972989</v>
      </c>
      <c r="R106" s="12">
        <f t="shared" si="7"/>
        <v>9.148793859649123</v>
      </c>
      <c r="S106" s="2">
        <f t="shared" si="8"/>
        <v>1.443798314896269</v>
      </c>
      <c r="T106" s="18" t="str">
        <f t="shared" si="9"/>
        <v>🔴 Low</v>
      </c>
    </row>
    <row r="107" spans="1:20" x14ac:dyDescent="0.3">
      <c r="A107" s="17">
        <v>106</v>
      </c>
      <c r="B107" s="3" t="s">
        <v>62</v>
      </c>
      <c r="C107" s="3" t="s">
        <v>21</v>
      </c>
      <c r="D107" s="3" t="s">
        <v>22</v>
      </c>
      <c r="E107" s="3" t="s">
        <v>30</v>
      </c>
      <c r="F107" s="3" t="s">
        <v>47</v>
      </c>
      <c r="G107" s="3" t="s">
        <v>25</v>
      </c>
      <c r="H107" s="3" t="s">
        <v>26</v>
      </c>
      <c r="I107" s="3" t="s">
        <v>27</v>
      </c>
      <c r="J107" s="6">
        <v>2024</v>
      </c>
      <c r="K107" s="3">
        <v>6144.22</v>
      </c>
      <c r="L107" s="3">
        <v>130812</v>
      </c>
      <c r="M107" s="3">
        <v>473</v>
      </c>
      <c r="N107" s="3">
        <v>2</v>
      </c>
      <c r="O107" s="3">
        <v>5614.26</v>
      </c>
      <c r="P107" s="9">
        <f t="shared" si="5"/>
        <v>0.3615876219307097</v>
      </c>
      <c r="Q107" s="11">
        <f t="shared" si="6"/>
        <v>11.869471458773784</v>
      </c>
      <c r="R107" s="13">
        <f t="shared" si="7"/>
        <v>2807.13</v>
      </c>
      <c r="S107" s="4">
        <f t="shared" si="8"/>
        <v>1.0943953432865596</v>
      </c>
      <c r="T107" s="19" t="str">
        <f t="shared" si="9"/>
        <v>🔴 Low</v>
      </c>
    </row>
    <row r="108" spans="1:20" x14ac:dyDescent="0.3">
      <c r="A108" s="16">
        <v>107</v>
      </c>
      <c r="B108" s="1" t="s">
        <v>65</v>
      </c>
      <c r="C108" s="1" t="s">
        <v>36</v>
      </c>
      <c r="D108" s="1" t="s">
        <v>41</v>
      </c>
      <c r="E108" s="1" t="s">
        <v>61</v>
      </c>
      <c r="F108" s="1" t="s">
        <v>31</v>
      </c>
      <c r="G108" s="1" t="s">
        <v>25</v>
      </c>
      <c r="H108" s="1" t="s">
        <v>81</v>
      </c>
      <c r="I108" s="1" t="s">
        <v>34</v>
      </c>
      <c r="J108" s="5">
        <v>2024</v>
      </c>
      <c r="K108" s="1">
        <v>1905.47</v>
      </c>
      <c r="L108" s="1">
        <v>783086</v>
      </c>
      <c r="M108" s="1">
        <v>22661</v>
      </c>
      <c r="N108" s="1">
        <v>3029</v>
      </c>
      <c r="O108" s="1">
        <v>1833.23</v>
      </c>
      <c r="P108" s="8">
        <f t="shared" si="5"/>
        <v>2.8938073212903817</v>
      </c>
      <c r="Q108" s="10">
        <f t="shared" si="6"/>
        <v>8.0898018622302642E-2</v>
      </c>
      <c r="R108" s="12">
        <f t="shared" si="7"/>
        <v>0.60522614724331458</v>
      </c>
      <c r="S108" s="2">
        <f t="shared" si="8"/>
        <v>1.0394058574210547</v>
      </c>
      <c r="T108" s="18" t="str">
        <f t="shared" si="9"/>
        <v>🟡 Mid</v>
      </c>
    </row>
    <row r="109" spans="1:20" x14ac:dyDescent="0.3">
      <c r="A109" s="17">
        <v>108</v>
      </c>
      <c r="B109" s="3" t="s">
        <v>90</v>
      </c>
      <c r="C109" s="3" t="s">
        <v>21</v>
      </c>
      <c r="D109" s="3" t="s">
        <v>29</v>
      </c>
      <c r="E109" s="3" t="s">
        <v>56</v>
      </c>
      <c r="F109" s="3" t="s">
        <v>31</v>
      </c>
      <c r="G109" s="3" t="s">
        <v>50</v>
      </c>
      <c r="H109" s="3" t="s">
        <v>52</v>
      </c>
      <c r="I109" s="3" t="s">
        <v>38</v>
      </c>
      <c r="J109" s="6">
        <v>2023</v>
      </c>
      <c r="K109" s="3">
        <v>8398.1299999999992</v>
      </c>
      <c r="L109" s="3">
        <v>345544</v>
      </c>
      <c r="M109" s="3">
        <v>2507</v>
      </c>
      <c r="N109" s="3">
        <v>37</v>
      </c>
      <c r="O109" s="3">
        <v>8381.32</v>
      </c>
      <c r="P109" s="9">
        <f t="shared" si="5"/>
        <v>0.7255226541337717</v>
      </c>
      <c r="Q109" s="11">
        <f t="shared" si="6"/>
        <v>3.3431671320303149</v>
      </c>
      <c r="R109" s="13">
        <f t="shared" si="7"/>
        <v>226.52216216216215</v>
      </c>
      <c r="S109" s="4">
        <f t="shared" si="8"/>
        <v>1.0020056506612323</v>
      </c>
      <c r="T109" s="19" t="str">
        <f t="shared" si="9"/>
        <v>🔴 Low</v>
      </c>
    </row>
    <row r="110" spans="1:20" x14ac:dyDescent="0.3">
      <c r="A110" s="16">
        <v>109</v>
      </c>
      <c r="B110" s="1" t="s">
        <v>96</v>
      </c>
      <c r="C110" s="1" t="s">
        <v>40</v>
      </c>
      <c r="D110" s="1" t="s">
        <v>22</v>
      </c>
      <c r="E110" s="1" t="s">
        <v>56</v>
      </c>
      <c r="F110" s="1" t="s">
        <v>24</v>
      </c>
      <c r="G110" s="1" t="s">
        <v>25</v>
      </c>
      <c r="H110" s="1" t="s">
        <v>33</v>
      </c>
      <c r="I110" s="1" t="s">
        <v>34</v>
      </c>
      <c r="J110" s="5">
        <v>2024</v>
      </c>
      <c r="K110" s="1">
        <v>10717.27</v>
      </c>
      <c r="L110" s="1">
        <v>419991</v>
      </c>
      <c r="M110" s="1">
        <v>9107</v>
      </c>
      <c r="N110" s="1">
        <v>75</v>
      </c>
      <c r="O110" s="1">
        <v>9937.3700000000008</v>
      </c>
      <c r="P110" s="8">
        <f t="shared" si="5"/>
        <v>2.168379798614732</v>
      </c>
      <c r="Q110" s="10">
        <f t="shared" si="6"/>
        <v>1.0911793126166687</v>
      </c>
      <c r="R110" s="12">
        <f t="shared" si="7"/>
        <v>132.49826666666667</v>
      </c>
      <c r="S110" s="2">
        <f t="shared" si="8"/>
        <v>1.0784815298212707</v>
      </c>
      <c r="T110" s="18" t="str">
        <f t="shared" si="9"/>
        <v>🟡 Mid</v>
      </c>
    </row>
    <row r="111" spans="1:20" x14ac:dyDescent="0.3">
      <c r="A111" s="17">
        <v>110</v>
      </c>
      <c r="B111" s="3" t="s">
        <v>88</v>
      </c>
      <c r="C111" s="3" t="s">
        <v>36</v>
      </c>
      <c r="D111" s="3" t="s">
        <v>29</v>
      </c>
      <c r="E111" s="3" t="s">
        <v>61</v>
      </c>
      <c r="F111" s="3" t="s">
        <v>24</v>
      </c>
      <c r="G111" s="3" t="s">
        <v>43</v>
      </c>
      <c r="H111" s="3" t="s">
        <v>37</v>
      </c>
      <c r="I111" s="3" t="s">
        <v>38</v>
      </c>
      <c r="J111" s="6">
        <v>2023</v>
      </c>
      <c r="K111" s="3">
        <v>5107.24</v>
      </c>
      <c r="L111" s="3">
        <v>158557</v>
      </c>
      <c r="M111" s="3">
        <v>3486</v>
      </c>
      <c r="N111" s="3">
        <v>61</v>
      </c>
      <c r="O111" s="3">
        <v>3436.51</v>
      </c>
      <c r="P111" s="9">
        <f t="shared" si="5"/>
        <v>2.1985784292084234</v>
      </c>
      <c r="Q111" s="11">
        <f t="shared" si="6"/>
        <v>0.98580321285140571</v>
      </c>
      <c r="R111" s="13">
        <f t="shared" si="7"/>
        <v>56.336229508196723</v>
      </c>
      <c r="S111" s="4">
        <f t="shared" si="8"/>
        <v>1.4861705625765673</v>
      </c>
      <c r="T111" s="19" t="str">
        <f t="shared" si="9"/>
        <v>🟡 Mid</v>
      </c>
    </row>
    <row r="112" spans="1:20" x14ac:dyDescent="0.3">
      <c r="A112" s="16">
        <v>111</v>
      </c>
      <c r="B112" s="1" t="s">
        <v>70</v>
      </c>
      <c r="C112" s="1" t="s">
        <v>36</v>
      </c>
      <c r="D112" s="1" t="s">
        <v>46</v>
      </c>
      <c r="E112" s="1" t="s">
        <v>56</v>
      </c>
      <c r="F112" s="1" t="s">
        <v>47</v>
      </c>
      <c r="G112" s="1" t="s">
        <v>32</v>
      </c>
      <c r="H112" s="1" t="s">
        <v>79</v>
      </c>
      <c r="I112" s="1" t="s">
        <v>45</v>
      </c>
      <c r="J112" s="5">
        <v>2024</v>
      </c>
      <c r="K112" s="1">
        <v>13782.1</v>
      </c>
      <c r="L112" s="1">
        <v>596912</v>
      </c>
      <c r="M112" s="1">
        <v>11257</v>
      </c>
      <c r="N112" s="1">
        <v>668</v>
      </c>
      <c r="O112" s="1">
        <v>13889.72</v>
      </c>
      <c r="P112" s="8">
        <f t="shared" si="5"/>
        <v>1.8858726244404533</v>
      </c>
      <c r="Q112" s="10">
        <f t="shared" si="6"/>
        <v>1.2338740339344407</v>
      </c>
      <c r="R112" s="12">
        <f t="shared" si="7"/>
        <v>20.792994011976045</v>
      </c>
      <c r="S112" s="2">
        <f t="shared" si="8"/>
        <v>0.99225182365087283</v>
      </c>
      <c r="T112" s="18" t="str">
        <f t="shared" si="9"/>
        <v>🟡 Mid</v>
      </c>
    </row>
    <row r="113" spans="1:20" x14ac:dyDescent="0.3">
      <c r="A113" s="17">
        <v>112</v>
      </c>
      <c r="B113" s="3" t="s">
        <v>92</v>
      </c>
      <c r="C113" s="3" t="s">
        <v>40</v>
      </c>
      <c r="D113" s="3" t="s">
        <v>41</v>
      </c>
      <c r="E113" s="3" t="s">
        <v>42</v>
      </c>
      <c r="F113" s="3" t="s">
        <v>47</v>
      </c>
      <c r="G113" s="3" t="s">
        <v>50</v>
      </c>
      <c r="H113" s="3" t="s">
        <v>44</v>
      </c>
      <c r="I113" s="3" t="s">
        <v>45</v>
      </c>
      <c r="J113" s="6">
        <v>2024</v>
      </c>
      <c r="K113" s="3">
        <v>16028.43</v>
      </c>
      <c r="L113" s="3">
        <v>625148</v>
      </c>
      <c r="M113" s="3">
        <v>2824</v>
      </c>
      <c r="N113" s="3">
        <v>182</v>
      </c>
      <c r="O113" s="3">
        <v>13032.42</v>
      </c>
      <c r="P113" s="9">
        <f t="shared" si="5"/>
        <v>0.4517330296185863</v>
      </c>
      <c r="Q113" s="11">
        <f t="shared" si="6"/>
        <v>4.6148796033994337</v>
      </c>
      <c r="R113" s="13">
        <f t="shared" si="7"/>
        <v>71.606703296703301</v>
      </c>
      <c r="S113" s="4">
        <f t="shared" si="8"/>
        <v>1.2298889998941103</v>
      </c>
      <c r="T113" s="19" t="str">
        <f t="shared" si="9"/>
        <v>🔴 Low</v>
      </c>
    </row>
    <row r="114" spans="1:20" x14ac:dyDescent="0.3">
      <c r="A114" s="16">
        <v>113</v>
      </c>
      <c r="B114" s="1" t="s">
        <v>67</v>
      </c>
      <c r="C114" s="1" t="s">
        <v>40</v>
      </c>
      <c r="D114" s="1" t="s">
        <v>41</v>
      </c>
      <c r="E114" s="1" t="s">
        <v>42</v>
      </c>
      <c r="F114" s="1" t="s">
        <v>24</v>
      </c>
      <c r="G114" s="1" t="s">
        <v>43</v>
      </c>
      <c r="H114" s="1" t="s">
        <v>52</v>
      </c>
      <c r="I114" s="1" t="s">
        <v>38</v>
      </c>
      <c r="J114" s="5">
        <v>2023</v>
      </c>
      <c r="K114" s="1">
        <v>13071</v>
      </c>
      <c r="L114" s="1">
        <v>99682</v>
      </c>
      <c r="M114" s="1">
        <v>1150</v>
      </c>
      <c r="N114" s="1">
        <v>111</v>
      </c>
      <c r="O114" s="1">
        <v>10885.7</v>
      </c>
      <c r="P114" s="8">
        <f t="shared" si="5"/>
        <v>1.1536686663590217</v>
      </c>
      <c r="Q114" s="10">
        <f t="shared" si="6"/>
        <v>9.4658260869565218</v>
      </c>
      <c r="R114" s="12">
        <f t="shared" si="7"/>
        <v>98.069369369369369</v>
      </c>
      <c r="S114" s="2">
        <f t="shared" si="8"/>
        <v>1.2007496072829491</v>
      </c>
      <c r="T114" s="18" t="str">
        <f t="shared" si="9"/>
        <v>🔴 Low</v>
      </c>
    </row>
    <row r="115" spans="1:20" x14ac:dyDescent="0.3">
      <c r="A115" s="17">
        <v>114</v>
      </c>
      <c r="B115" s="3" t="s">
        <v>62</v>
      </c>
      <c r="C115" s="3" t="s">
        <v>21</v>
      </c>
      <c r="D115" s="3" t="s">
        <v>41</v>
      </c>
      <c r="E115" s="3" t="s">
        <v>61</v>
      </c>
      <c r="F115" s="3" t="s">
        <v>31</v>
      </c>
      <c r="G115" s="3" t="s">
        <v>25</v>
      </c>
      <c r="H115" s="3" t="s">
        <v>37</v>
      </c>
      <c r="I115" s="3" t="s">
        <v>38</v>
      </c>
      <c r="J115" s="6">
        <v>2024</v>
      </c>
      <c r="K115" s="3">
        <v>10276.66</v>
      </c>
      <c r="L115" s="3">
        <v>69879</v>
      </c>
      <c r="M115" s="3">
        <v>214</v>
      </c>
      <c r="N115" s="3">
        <v>20</v>
      </c>
      <c r="O115" s="3">
        <v>9666.2900000000009</v>
      </c>
      <c r="P115" s="9">
        <f t="shared" si="5"/>
        <v>0.3062436497374032</v>
      </c>
      <c r="Q115" s="11">
        <f t="shared" si="6"/>
        <v>45.169579439252338</v>
      </c>
      <c r="R115" s="13">
        <f t="shared" si="7"/>
        <v>483.31450000000007</v>
      </c>
      <c r="S115" s="4">
        <f t="shared" si="8"/>
        <v>1.0631441845837439</v>
      </c>
      <c r="T115" s="19" t="str">
        <f t="shared" si="9"/>
        <v>🔴 Low</v>
      </c>
    </row>
    <row r="116" spans="1:20" x14ac:dyDescent="0.3">
      <c r="A116" s="16">
        <v>115</v>
      </c>
      <c r="B116" s="1" t="s">
        <v>39</v>
      </c>
      <c r="C116" s="1" t="s">
        <v>40</v>
      </c>
      <c r="D116" s="1" t="s">
        <v>29</v>
      </c>
      <c r="E116" s="1" t="s">
        <v>30</v>
      </c>
      <c r="F116" s="1" t="s">
        <v>24</v>
      </c>
      <c r="G116" s="1" t="s">
        <v>25</v>
      </c>
      <c r="H116" s="1" t="s">
        <v>54</v>
      </c>
      <c r="I116" s="1" t="s">
        <v>45</v>
      </c>
      <c r="J116" s="5">
        <v>2024</v>
      </c>
      <c r="K116" s="1">
        <v>19824.23</v>
      </c>
      <c r="L116" s="1">
        <v>554525</v>
      </c>
      <c r="M116" s="1">
        <v>7258</v>
      </c>
      <c r="N116" s="1">
        <v>153</v>
      </c>
      <c r="O116" s="1">
        <v>14249.96</v>
      </c>
      <c r="P116" s="8">
        <f t="shared" si="5"/>
        <v>1.3088679500473379</v>
      </c>
      <c r="Q116" s="10">
        <f t="shared" si="6"/>
        <v>1.9633452741802149</v>
      </c>
      <c r="R116" s="12">
        <f t="shared" si="7"/>
        <v>93.136993464052281</v>
      </c>
      <c r="S116" s="2">
        <f t="shared" si="8"/>
        <v>1.391177940148604</v>
      </c>
      <c r="T116" s="18" t="str">
        <f t="shared" si="9"/>
        <v>🔴 Low</v>
      </c>
    </row>
    <row r="117" spans="1:20" x14ac:dyDescent="0.3">
      <c r="A117" s="17">
        <v>116</v>
      </c>
      <c r="B117" s="3" t="s">
        <v>96</v>
      </c>
      <c r="C117" s="3" t="s">
        <v>40</v>
      </c>
      <c r="D117" s="3" t="s">
        <v>29</v>
      </c>
      <c r="E117" s="3" t="s">
        <v>42</v>
      </c>
      <c r="F117" s="3" t="s">
        <v>31</v>
      </c>
      <c r="G117" s="3" t="s">
        <v>43</v>
      </c>
      <c r="H117" s="3" t="s">
        <v>58</v>
      </c>
      <c r="I117" s="3" t="s">
        <v>27</v>
      </c>
      <c r="J117" s="6">
        <v>2024</v>
      </c>
      <c r="K117" s="3">
        <v>2342.87</v>
      </c>
      <c r="L117" s="3">
        <v>716332</v>
      </c>
      <c r="M117" s="3">
        <v>11161</v>
      </c>
      <c r="N117" s="3">
        <v>241</v>
      </c>
      <c r="O117" s="3">
        <v>1653.69</v>
      </c>
      <c r="P117" s="9">
        <f t="shared" si="5"/>
        <v>1.5580764226643511</v>
      </c>
      <c r="Q117" s="11">
        <f t="shared" si="6"/>
        <v>0.14816683092912822</v>
      </c>
      <c r="R117" s="13">
        <f t="shared" si="7"/>
        <v>6.8617842323651459</v>
      </c>
      <c r="S117" s="4">
        <f t="shared" si="8"/>
        <v>1.416752837593503</v>
      </c>
      <c r="T117" s="19" t="str">
        <f t="shared" si="9"/>
        <v>🟡 Mid</v>
      </c>
    </row>
    <row r="118" spans="1:20" x14ac:dyDescent="0.3">
      <c r="A118" s="16">
        <v>117</v>
      </c>
      <c r="B118" s="1" t="s">
        <v>49</v>
      </c>
      <c r="C118" s="1" t="s">
        <v>21</v>
      </c>
      <c r="D118" s="1" t="s">
        <v>13</v>
      </c>
      <c r="E118" s="1" t="s">
        <v>42</v>
      </c>
      <c r="F118" s="1" t="s">
        <v>31</v>
      </c>
      <c r="G118" s="1" t="s">
        <v>25</v>
      </c>
      <c r="H118" s="1" t="s">
        <v>37</v>
      </c>
      <c r="I118" s="1" t="s">
        <v>38</v>
      </c>
      <c r="J118" s="5">
        <v>2024</v>
      </c>
      <c r="K118" s="1">
        <v>19370.080000000002</v>
      </c>
      <c r="L118" s="1">
        <v>737409</v>
      </c>
      <c r="M118" s="1">
        <v>4145</v>
      </c>
      <c r="N118" s="1">
        <v>412</v>
      </c>
      <c r="O118" s="1">
        <v>12311.27</v>
      </c>
      <c r="P118" s="8">
        <f t="shared" si="5"/>
        <v>0.56210325613058698</v>
      </c>
      <c r="Q118" s="10">
        <f t="shared" si="6"/>
        <v>2.9701495778045839</v>
      </c>
      <c r="R118" s="12">
        <f t="shared" si="7"/>
        <v>29.881723300970876</v>
      </c>
      <c r="S118" s="2">
        <f t="shared" si="8"/>
        <v>1.5733616434372735</v>
      </c>
      <c r="T118" s="18" t="str">
        <f t="shared" si="9"/>
        <v>🔴 Low</v>
      </c>
    </row>
    <row r="119" spans="1:20" x14ac:dyDescent="0.3">
      <c r="A119" s="17">
        <v>118</v>
      </c>
      <c r="B119" s="3" t="s">
        <v>76</v>
      </c>
      <c r="C119" s="3" t="s">
        <v>21</v>
      </c>
      <c r="D119" s="3" t="s">
        <v>13</v>
      </c>
      <c r="E119" s="3" t="s">
        <v>30</v>
      </c>
      <c r="F119" s="3" t="s">
        <v>31</v>
      </c>
      <c r="G119" s="3" t="s">
        <v>32</v>
      </c>
      <c r="H119" s="3" t="s">
        <v>58</v>
      </c>
      <c r="I119" s="3" t="s">
        <v>27</v>
      </c>
      <c r="J119" s="6">
        <v>2024</v>
      </c>
      <c r="K119" s="3">
        <v>10415.530000000001</v>
      </c>
      <c r="L119" s="3">
        <v>24116</v>
      </c>
      <c r="M119" s="3">
        <v>114</v>
      </c>
      <c r="N119" s="3">
        <v>8</v>
      </c>
      <c r="O119" s="3">
        <v>7037.88</v>
      </c>
      <c r="P119" s="9">
        <f t="shared" si="5"/>
        <v>0.47271520981920717</v>
      </c>
      <c r="Q119" s="11">
        <f t="shared" si="6"/>
        <v>61.735789473684214</v>
      </c>
      <c r="R119" s="13">
        <f t="shared" si="7"/>
        <v>879.73500000000001</v>
      </c>
      <c r="S119" s="4">
        <f t="shared" si="8"/>
        <v>1.4799243522197025</v>
      </c>
      <c r="T119" s="19" t="str">
        <f t="shared" si="9"/>
        <v>🔴 Low</v>
      </c>
    </row>
    <row r="120" spans="1:20" x14ac:dyDescent="0.3">
      <c r="A120" s="16">
        <v>119</v>
      </c>
      <c r="B120" s="1" t="s">
        <v>99</v>
      </c>
      <c r="C120" s="1" t="s">
        <v>36</v>
      </c>
      <c r="D120" s="1" t="s">
        <v>41</v>
      </c>
      <c r="E120" s="1" t="s">
        <v>30</v>
      </c>
      <c r="F120" s="1" t="s">
        <v>24</v>
      </c>
      <c r="G120" s="1" t="s">
        <v>25</v>
      </c>
      <c r="H120" s="1" t="s">
        <v>26</v>
      </c>
      <c r="I120" s="1" t="s">
        <v>27</v>
      </c>
      <c r="J120" s="5">
        <v>2023</v>
      </c>
      <c r="K120" s="1">
        <v>6267.95</v>
      </c>
      <c r="L120" s="1">
        <v>111053</v>
      </c>
      <c r="M120" s="1">
        <v>2418</v>
      </c>
      <c r="N120" s="1">
        <v>287</v>
      </c>
      <c r="O120" s="1">
        <v>5146.8900000000003</v>
      </c>
      <c r="P120" s="8">
        <f t="shared" si="5"/>
        <v>2.1773387481652904</v>
      </c>
      <c r="Q120" s="10">
        <f t="shared" si="6"/>
        <v>2.1285732009925558</v>
      </c>
      <c r="R120" s="12">
        <f t="shared" si="7"/>
        <v>17.933414634146342</v>
      </c>
      <c r="S120" s="2">
        <f t="shared" si="8"/>
        <v>1.2178130871264006</v>
      </c>
      <c r="T120" s="18" t="str">
        <f t="shared" si="9"/>
        <v>🟡 Mid</v>
      </c>
    </row>
    <row r="121" spans="1:20" x14ac:dyDescent="0.3">
      <c r="A121" s="17">
        <v>120</v>
      </c>
      <c r="B121" s="3" t="s">
        <v>95</v>
      </c>
      <c r="C121" s="3" t="s">
        <v>21</v>
      </c>
      <c r="D121" s="3" t="s">
        <v>29</v>
      </c>
      <c r="E121" s="3" t="s">
        <v>30</v>
      </c>
      <c r="F121" s="3" t="s">
        <v>31</v>
      </c>
      <c r="G121" s="3" t="s">
        <v>50</v>
      </c>
      <c r="H121" s="3" t="s">
        <v>26</v>
      </c>
      <c r="I121" s="3" t="s">
        <v>27</v>
      </c>
      <c r="J121" s="6">
        <v>2023</v>
      </c>
      <c r="K121" s="3">
        <v>4026.5</v>
      </c>
      <c r="L121" s="3">
        <v>731501</v>
      </c>
      <c r="M121" s="3">
        <v>4900</v>
      </c>
      <c r="N121" s="3">
        <v>162</v>
      </c>
      <c r="O121" s="3">
        <v>3784.1</v>
      </c>
      <c r="P121" s="9">
        <f t="shared" si="5"/>
        <v>0.66985554360144417</v>
      </c>
      <c r="Q121" s="11">
        <f t="shared" si="6"/>
        <v>0.77226530612244892</v>
      </c>
      <c r="R121" s="13">
        <f t="shared" si="7"/>
        <v>23.358641975308643</v>
      </c>
      <c r="S121" s="4">
        <f t="shared" si="8"/>
        <v>1.0640575037657567</v>
      </c>
      <c r="T121" s="19" t="str">
        <f t="shared" si="9"/>
        <v>🔴 Low</v>
      </c>
    </row>
    <row r="122" spans="1:20" x14ac:dyDescent="0.3">
      <c r="A122" s="16">
        <v>121</v>
      </c>
      <c r="B122" s="1" t="s">
        <v>86</v>
      </c>
      <c r="C122" s="1" t="s">
        <v>36</v>
      </c>
      <c r="D122" s="1" t="s">
        <v>22</v>
      </c>
      <c r="E122" s="1" t="s">
        <v>56</v>
      </c>
      <c r="F122" s="1" t="s">
        <v>47</v>
      </c>
      <c r="G122" s="1" t="s">
        <v>25</v>
      </c>
      <c r="H122" s="1" t="s">
        <v>48</v>
      </c>
      <c r="I122" s="1" t="s">
        <v>34</v>
      </c>
      <c r="J122" s="5">
        <v>2024</v>
      </c>
      <c r="K122" s="1">
        <v>15171.63</v>
      </c>
      <c r="L122" s="1">
        <v>475735</v>
      </c>
      <c r="M122" s="1">
        <v>13497</v>
      </c>
      <c r="N122" s="1">
        <v>262</v>
      </c>
      <c r="O122" s="1">
        <v>14101.05</v>
      </c>
      <c r="P122" s="8">
        <f t="shared" si="5"/>
        <v>2.8370836705308626</v>
      </c>
      <c r="Q122" s="10">
        <f t="shared" si="6"/>
        <v>1.0447543898644143</v>
      </c>
      <c r="R122" s="12">
        <f t="shared" si="7"/>
        <v>53.820801526717553</v>
      </c>
      <c r="S122" s="2">
        <f t="shared" si="8"/>
        <v>1.0759220058080781</v>
      </c>
      <c r="T122" s="18" t="str">
        <f t="shared" si="9"/>
        <v>🟡 Mid</v>
      </c>
    </row>
    <row r="123" spans="1:20" x14ac:dyDescent="0.3">
      <c r="A123" s="17">
        <v>122</v>
      </c>
      <c r="B123" s="3" t="s">
        <v>72</v>
      </c>
      <c r="C123" s="3" t="s">
        <v>36</v>
      </c>
      <c r="D123" s="3" t="s">
        <v>29</v>
      </c>
      <c r="E123" s="3" t="s">
        <v>56</v>
      </c>
      <c r="F123" s="3" t="s">
        <v>47</v>
      </c>
      <c r="G123" s="3" t="s">
        <v>43</v>
      </c>
      <c r="H123" s="3" t="s">
        <v>33</v>
      </c>
      <c r="I123" s="3" t="s">
        <v>34</v>
      </c>
      <c r="J123" s="6">
        <v>2024</v>
      </c>
      <c r="K123" s="3">
        <v>19342.23</v>
      </c>
      <c r="L123" s="3">
        <v>214398</v>
      </c>
      <c r="M123" s="3">
        <v>6791</v>
      </c>
      <c r="N123" s="3">
        <v>231</v>
      </c>
      <c r="O123" s="3">
        <v>12729.65</v>
      </c>
      <c r="P123" s="9">
        <f t="shared" si="5"/>
        <v>3.1674735771788911</v>
      </c>
      <c r="Q123" s="11">
        <f t="shared" si="6"/>
        <v>1.8744882933294065</v>
      </c>
      <c r="R123" s="13">
        <f t="shared" si="7"/>
        <v>55.106709956709956</v>
      </c>
      <c r="S123" s="4">
        <f t="shared" si="8"/>
        <v>1.5194628289073149</v>
      </c>
      <c r="T123" s="19" t="str">
        <f t="shared" si="9"/>
        <v>🟢 High</v>
      </c>
    </row>
    <row r="124" spans="1:20" x14ac:dyDescent="0.3">
      <c r="A124" s="16">
        <v>123</v>
      </c>
      <c r="B124" s="1" t="s">
        <v>51</v>
      </c>
      <c r="C124" s="1" t="s">
        <v>40</v>
      </c>
      <c r="D124" s="1" t="s">
        <v>41</v>
      </c>
      <c r="E124" s="1" t="s">
        <v>23</v>
      </c>
      <c r="F124" s="1" t="s">
        <v>31</v>
      </c>
      <c r="G124" s="1" t="s">
        <v>57</v>
      </c>
      <c r="H124" s="1" t="s">
        <v>54</v>
      </c>
      <c r="I124" s="1" t="s">
        <v>45</v>
      </c>
      <c r="J124" s="5">
        <v>2023</v>
      </c>
      <c r="K124" s="1">
        <v>6058.73</v>
      </c>
      <c r="L124" s="1">
        <v>173099</v>
      </c>
      <c r="M124" s="1">
        <v>2501</v>
      </c>
      <c r="N124" s="1">
        <v>179</v>
      </c>
      <c r="O124" s="1">
        <v>4748.46</v>
      </c>
      <c r="P124" s="8">
        <f t="shared" si="5"/>
        <v>1.4448379251179961</v>
      </c>
      <c r="Q124" s="10">
        <f t="shared" si="6"/>
        <v>1.8986245501799281</v>
      </c>
      <c r="R124" s="12">
        <f t="shared" si="7"/>
        <v>26.527709497206704</v>
      </c>
      <c r="S124" s="2">
        <f t="shared" si="8"/>
        <v>1.2759357770729878</v>
      </c>
      <c r="T124" s="18" t="str">
        <f t="shared" si="9"/>
        <v>🔴 Low</v>
      </c>
    </row>
    <row r="125" spans="1:20" x14ac:dyDescent="0.3">
      <c r="A125" s="17">
        <v>124</v>
      </c>
      <c r="B125" s="3" t="s">
        <v>86</v>
      </c>
      <c r="C125" s="3" t="s">
        <v>36</v>
      </c>
      <c r="D125" s="3" t="s">
        <v>13</v>
      </c>
      <c r="E125" s="3" t="s">
        <v>42</v>
      </c>
      <c r="F125" s="3" t="s">
        <v>47</v>
      </c>
      <c r="G125" s="3" t="s">
        <v>57</v>
      </c>
      <c r="H125" s="3" t="s">
        <v>33</v>
      </c>
      <c r="I125" s="3" t="s">
        <v>34</v>
      </c>
      <c r="J125" s="6">
        <v>2024</v>
      </c>
      <c r="K125" s="3">
        <v>5097.67</v>
      </c>
      <c r="L125" s="3">
        <v>90569</v>
      </c>
      <c r="M125" s="3">
        <v>3509</v>
      </c>
      <c r="N125" s="3">
        <v>267</v>
      </c>
      <c r="O125" s="3">
        <v>3118.95</v>
      </c>
      <c r="P125" s="9">
        <f t="shared" si="5"/>
        <v>3.8743941083593727</v>
      </c>
      <c r="Q125" s="11">
        <f t="shared" si="6"/>
        <v>0.88884297520661149</v>
      </c>
      <c r="R125" s="13">
        <f t="shared" si="7"/>
        <v>11.681460674157302</v>
      </c>
      <c r="S125" s="4">
        <f t="shared" si="8"/>
        <v>1.6344186344763463</v>
      </c>
      <c r="T125" s="19" t="str">
        <f t="shared" si="9"/>
        <v>🟢 High</v>
      </c>
    </row>
    <row r="126" spans="1:20" x14ac:dyDescent="0.3">
      <c r="A126" s="16">
        <v>125</v>
      </c>
      <c r="B126" s="1" t="s">
        <v>99</v>
      </c>
      <c r="C126" s="1" t="s">
        <v>36</v>
      </c>
      <c r="D126" s="1" t="s">
        <v>46</v>
      </c>
      <c r="E126" s="1" t="s">
        <v>30</v>
      </c>
      <c r="F126" s="1" t="s">
        <v>24</v>
      </c>
      <c r="G126" s="1" t="s">
        <v>43</v>
      </c>
      <c r="H126" s="1" t="s">
        <v>48</v>
      </c>
      <c r="I126" s="1" t="s">
        <v>34</v>
      </c>
      <c r="J126" s="5">
        <v>2023</v>
      </c>
      <c r="K126" s="1">
        <v>15297.4</v>
      </c>
      <c r="L126" s="1">
        <v>496897</v>
      </c>
      <c r="M126" s="1">
        <v>13671</v>
      </c>
      <c r="N126" s="1">
        <v>611</v>
      </c>
      <c r="O126" s="1">
        <v>10822.73</v>
      </c>
      <c r="P126" s="8">
        <f t="shared" si="5"/>
        <v>2.7512744089821428</v>
      </c>
      <c r="Q126" s="10">
        <f t="shared" si="6"/>
        <v>0.79165606027357172</v>
      </c>
      <c r="R126" s="12">
        <f t="shared" si="7"/>
        <v>17.713142389525366</v>
      </c>
      <c r="S126" s="2">
        <f t="shared" si="8"/>
        <v>1.4134511347876184</v>
      </c>
      <c r="T126" s="18" t="str">
        <f t="shared" si="9"/>
        <v>🟡 Mid</v>
      </c>
    </row>
    <row r="127" spans="1:20" x14ac:dyDescent="0.3">
      <c r="A127" s="17">
        <v>126</v>
      </c>
      <c r="B127" s="3" t="s">
        <v>35</v>
      </c>
      <c r="C127" s="3" t="s">
        <v>36</v>
      </c>
      <c r="D127" s="3" t="s">
        <v>22</v>
      </c>
      <c r="E127" s="3" t="s">
        <v>23</v>
      </c>
      <c r="F127" s="3" t="s">
        <v>24</v>
      </c>
      <c r="G127" s="3" t="s">
        <v>43</v>
      </c>
      <c r="H127" s="3" t="s">
        <v>58</v>
      </c>
      <c r="I127" s="3" t="s">
        <v>27</v>
      </c>
      <c r="J127" s="6">
        <v>2023</v>
      </c>
      <c r="K127" s="3">
        <v>5149.57</v>
      </c>
      <c r="L127" s="3">
        <v>674989</v>
      </c>
      <c r="M127" s="3">
        <v>19009</v>
      </c>
      <c r="N127" s="3">
        <v>321</v>
      </c>
      <c r="O127" s="3">
        <v>4078.4</v>
      </c>
      <c r="P127" s="9">
        <f t="shared" si="5"/>
        <v>2.8161940416806792</v>
      </c>
      <c r="Q127" s="11">
        <f t="shared" si="6"/>
        <v>0.21455100215687306</v>
      </c>
      <c r="R127" s="13">
        <f t="shared" si="7"/>
        <v>12.705295950155763</v>
      </c>
      <c r="S127" s="4">
        <f t="shared" si="8"/>
        <v>1.2626446645743428</v>
      </c>
      <c r="T127" s="19" t="str">
        <f t="shared" si="9"/>
        <v>🟡 Mid</v>
      </c>
    </row>
    <row r="128" spans="1:20" x14ac:dyDescent="0.3">
      <c r="A128" s="16">
        <v>127</v>
      </c>
      <c r="B128" s="1" t="s">
        <v>89</v>
      </c>
      <c r="C128" s="1" t="s">
        <v>36</v>
      </c>
      <c r="D128" s="1" t="s">
        <v>29</v>
      </c>
      <c r="E128" s="1" t="s">
        <v>61</v>
      </c>
      <c r="F128" s="1" t="s">
        <v>24</v>
      </c>
      <c r="G128" s="1" t="s">
        <v>32</v>
      </c>
      <c r="H128" s="1" t="s">
        <v>79</v>
      </c>
      <c r="I128" s="1" t="s">
        <v>45</v>
      </c>
      <c r="J128" s="5">
        <v>2023</v>
      </c>
      <c r="K128" s="1">
        <v>14511.61</v>
      </c>
      <c r="L128" s="1">
        <v>310420</v>
      </c>
      <c r="M128" s="1">
        <v>6756</v>
      </c>
      <c r="N128" s="1">
        <v>116</v>
      </c>
      <c r="O128" s="1">
        <v>11245.89</v>
      </c>
      <c r="P128" s="8">
        <f t="shared" si="5"/>
        <v>2.1764061593969464</v>
      </c>
      <c r="Q128" s="10">
        <f t="shared" si="6"/>
        <v>1.6645781527531083</v>
      </c>
      <c r="R128" s="12">
        <f t="shared" si="7"/>
        <v>96.947327586206896</v>
      </c>
      <c r="S128" s="2">
        <f t="shared" si="8"/>
        <v>1.2903923122136176</v>
      </c>
      <c r="T128" s="18" t="str">
        <f t="shared" si="9"/>
        <v>🟡 Mid</v>
      </c>
    </row>
    <row r="129" spans="1:20" x14ac:dyDescent="0.3">
      <c r="A129" s="17">
        <v>128</v>
      </c>
      <c r="B129" s="3" t="s">
        <v>20</v>
      </c>
      <c r="C129" s="3" t="s">
        <v>21</v>
      </c>
      <c r="D129" s="3" t="s">
        <v>29</v>
      </c>
      <c r="E129" s="3" t="s">
        <v>23</v>
      </c>
      <c r="F129" s="3" t="s">
        <v>24</v>
      </c>
      <c r="G129" s="3" t="s">
        <v>32</v>
      </c>
      <c r="H129" s="3" t="s">
        <v>81</v>
      </c>
      <c r="I129" s="3" t="s">
        <v>34</v>
      </c>
      <c r="J129" s="6">
        <v>2023</v>
      </c>
      <c r="K129" s="3">
        <v>8113.85</v>
      </c>
      <c r="L129" s="3">
        <v>497972</v>
      </c>
      <c r="M129" s="3">
        <v>4965</v>
      </c>
      <c r="N129" s="3">
        <v>56</v>
      </c>
      <c r="O129" s="3">
        <v>6186.73</v>
      </c>
      <c r="P129" s="9">
        <f t="shared" si="5"/>
        <v>0.99704401050661495</v>
      </c>
      <c r="Q129" s="11">
        <f t="shared" si="6"/>
        <v>1.2460684793554884</v>
      </c>
      <c r="R129" s="13">
        <f t="shared" si="7"/>
        <v>110.47732142857141</v>
      </c>
      <c r="S129" s="4">
        <f t="shared" si="8"/>
        <v>1.3114925008849587</v>
      </c>
      <c r="T129" s="19" t="str">
        <f t="shared" si="9"/>
        <v>🔴 Low</v>
      </c>
    </row>
    <row r="130" spans="1:20" x14ac:dyDescent="0.3">
      <c r="A130" s="16">
        <v>129</v>
      </c>
      <c r="B130" s="1" t="s">
        <v>101</v>
      </c>
      <c r="C130" s="1" t="s">
        <v>40</v>
      </c>
      <c r="D130" s="1" t="s">
        <v>22</v>
      </c>
      <c r="E130" s="1" t="s">
        <v>23</v>
      </c>
      <c r="F130" s="1" t="s">
        <v>24</v>
      </c>
      <c r="G130" s="1" t="s">
        <v>43</v>
      </c>
      <c r="H130" s="1" t="s">
        <v>83</v>
      </c>
      <c r="I130" s="1" t="s">
        <v>38</v>
      </c>
      <c r="J130" s="5">
        <v>2023</v>
      </c>
      <c r="K130" s="1">
        <v>15544.28</v>
      </c>
      <c r="L130" s="1">
        <v>775899</v>
      </c>
      <c r="M130" s="1">
        <v>12501</v>
      </c>
      <c r="N130" s="1">
        <v>128</v>
      </c>
      <c r="O130" s="1">
        <v>11536.81</v>
      </c>
      <c r="P130" s="8">
        <f t="shared" ref="P130:P193" si="10">IFERROR(M130/L130*100,0)</f>
        <v>1.6111633086265091</v>
      </c>
      <c r="Q130" s="10">
        <f t="shared" ref="Q130:Q193" si="11">IFERROR(O130/M130,0)</f>
        <v>0.9228709703223742</v>
      </c>
      <c r="R130" s="12">
        <f t="shared" ref="R130:R193" si="12">IFERROR(O130/N130,"-")</f>
        <v>90.131328124999996</v>
      </c>
      <c r="S130" s="2">
        <f t="shared" ref="S130:S193" si="13">IFERROR(K130/O130,0)</f>
        <v>1.3473637860032368</v>
      </c>
      <c r="T130" s="18" t="str">
        <f t="shared" ref="T130:T193" si="14">IF(P130&gt;=3,"🟢 High",IF(P130&gt;=1.5,"🟡 Mid","🔴 Low"))</f>
        <v>🟡 Mid</v>
      </c>
    </row>
    <row r="131" spans="1:20" x14ac:dyDescent="0.3">
      <c r="A131" s="17">
        <v>130</v>
      </c>
      <c r="B131" s="3" t="s">
        <v>69</v>
      </c>
      <c r="C131" s="3" t="s">
        <v>21</v>
      </c>
      <c r="D131" s="3" t="s">
        <v>41</v>
      </c>
      <c r="E131" s="3" t="s">
        <v>56</v>
      </c>
      <c r="F131" s="3" t="s">
        <v>31</v>
      </c>
      <c r="G131" s="3" t="s">
        <v>25</v>
      </c>
      <c r="H131" s="3" t="s">
        <v>26</v>
      </c>
      <c r="I131" s="3" t="s">
        <v>27</v>
      </c>
      <c r="J131" s="6">
        <v>2023</v>
      </c>
      <c r="K131" s="3">
        <v>14462.88</v>
      </c>
      <c r="L131" s="3">
        <v>484911</v>
      </c>
      <c r="M131" s="3">
        <v>2098</v>
      </c>
      <c r="N131" s="3">
        <v>132</v>
      </c>
      <c r="O131" s="3">
        <v>9902.27</v>
      </c>
      <c r="P131" s="9">
        <f t="shared" si="10"/>
        <v>0.43265671432489672</v>
      </c>
      <c r="Q131" s="11">
        <f t="shared" si="11"/>
        <v>4.7198617731172545</v>
      </c>
      <c r="R131" s="13">
        <f t="shared" si="12"/>
        <v>75.017196969696968</v>
      </c>
      <c r="S131" s="4">
        <f t="shared" si="13"/>
        <v>1.4605620731408049</v>
      </c>
      <c r="T131" s="19" t="str">
        <f t="shared" si="14"/>
        <v>🔴 Low</v>
      </c>
    </row>
    <row r="132" spans="1:20" x14ac:dyDescent="0.3">
      <c r="A132" s="16">
        <v>131</v>
      </c>
      <c r="B132" s="1" t="s">
        <v>91</v>
      </c>
      <c r="C132" s="1" t="s">
        <v>36</v>
      </c>
      <c r="D132" s="1" t="s">
        <v>13</v>
      </c>
      <c r="E132" s="1" t="s">
        <v>23</v>
      </c>
      <c r="F132" s="1" t="s">
        <v>31</v>
      </c>
      <c r="G132" s="1" t="s">
        <v>50</v>
      </c>
      <c r="H132" s="1" t="s">
        <v>81</v>
      </c>
      <c r="I132" s="1" t="s">
        <v>34</v>
      </c>
      <c r="J132" s="5">
        <v>2024</v>
      </c>
      <c r="K132" s="1">
        <v>5439.62</v>
      </c>
      <c r="L132" s="1">
        <v>794882</v>
      </c>
      <c r="M132" s="1">
        <v>20287</v>
      </c>
      <c r="N132" s="1">
        <v>2238</v>
      </c>
      <c r="O132" s="1">
        <v>3372.99</v>
      </c>
      <c r="P132" s="8">
        <f t="shared" si="10"/>
        <v>2.5522027168812476</v>
      </c>
      <c r="Q132" s="10">
        <f t="shared" si="11"/>
        <v>0.16626361709469117</v>
      </c>
      <c r="R132" s="12">
        <f t="shared" si="12"/>
        <v>1.5071447721179623</v>
      </c>
      <c r="S132" s="2">
        <f t="shared" si="13"/>
        <v>1.6126997115319051</v>
      </c>
      <c r="T132" s="18" t="str">
        <f t="shared" si="14"/>
        <v>🟡 Mid</v>
      </c>
    </row>
    <row r="133" spans="1:20" x14ac:dyDescent="0.3">
      <c r="A133" s="17">
        <v>132</v>
      </c>
      <c r="B133" s="3" t="s">
        <v>78</v>
      </c>
      <c r="C133" s="3" t="s">
        <v>21</v>
      </c>
      <c r="D133" s="3" t="s">
        <v>13</v>
      </c>
      <c r="E133" s="3" t="s">
        <v>42</v>
      </c>
      <c r="F133" s="3" t="s">
        <v>47</v>
      </c>
      <c r="G133" s="3" t="s">
        <v>50</v>
      </c>
      <c r="H133" s="3" t="s">
        <v>33</v>
      </c>
      <c r="I133" s="3" t="s">
        <v>34</v>
      </c>
      <c r="J133" s="6">
        <v>2024</v>
      </c>
      <c r="K133" s="3">
        <v>17945.43</v>
      </c>
      <c r="L133" s="3">
        <v>410426</v>
      </c>
      <c r="M133" s="3">
        <v>1529</v>
      </c>
      <c r="N133" s="3">
        <v>112</v>
      </c>
      <c r="O133" s="3">
        <v>12175.31</v>
      </c>
      <c r="P133" s="9">
        <f t="shared" si="10"/>
        <v>0.37253975138027318</v>
      </c>
      <c r="Q133" s="11">
        <f t="shared" si="11"/>
        <v>7.9629234793982988</v>
      </c>
      <c r="R133" s="13">
        <f t="shared" si="12"/>
        <v>108.708125</v>
      </c>
      <c r="S133" s="4">
        <f t="shared" si="13"/>
        <v>1.4739197605646182</v>
      </c>
      <c r="T133" s="19" t="str">
        <f t="shared" si="14"/>
        <v>🔴 Low</v>
      </c>
    </row>
    <row r="134" spans="1:20" x14ac:dyDescent="0.3">
      <c r="A134" s="16">
        <v>133</v>
      </c>
      <c r="B134" s="1" t="s">
        <v>53</v>
      </c>
      <c r="C134" s="1" t="s">
        <v>21</v>
      </c>
      <c r="D134" s="1" t="s">
        <v>13</v>
      </c>
      <c r="E134" s="1" t="s">
        <v>61</v>
      </c>
      <c r="F134" s="1" t="s">
        <v>47</v>
      </c>
      <c r="G134" s="1" t="s">
        <v>57</v>
      </c>
      <c r="H134" s="1" t="s">
        <v>54</v>
      </c>
      <c r="I134" s="1" t="s">
        <v>45</v>
      </c>
      <c r="J134" s="5">
        <v>2024</v>
      </c>
      <c r="K134" s="1">
        <v>2039.08</v>
      </c>
      <c r="L134" s="1">
        <v>636718</v>
      </c>
      <c r="M134" s="1">
        <v>6464</v>
      </c>
      <c r="N134" s="1">
        <v>456</v>
      </c>
      <c r="O134" s="1">
        <v>1311.31</v>
      </c>
      <c r="P134" s="8">
        <f t="shared" si="10"/>
        <v>1.0152061038010549</v>
      </c>
      <c r="Q134" s="10">
        <f t="shared" si="11"/>
        <v>0.20286355198019801</v>
      </c>
      <c r="R134" s="12">
        <f t="shared" si="12"/>
        <v>2.8756798245614035</v>
      </c>
      <c r="S134" s="2">
        <f t="shared" si="13"/>
        <v>1.5549946236969139</v>
      </c>
      <c r="T134" s="18" t="str">
        <f t="shared" si="14"/>
        <v>🔴 Low</v>
      </c>
    </row>
    <row r="135" spans="1:20" x14ac:dyDescent="0.3">
      <c r="A135" s="17">
        <v>134</v>
      </c>
      <c r="B135" s="3" t="s">
        <v>77</v>
      </c>
      <c r="C135" s="3" t="s">
        <v>40</v>
      </c>
      <c r="D135" s="3" t="s">
        <v>13</v>
      </c>
      <c r="E135" s="3" t="s">
        <v>56</v>
      </c>
      <c r="F135" s="3" t="s">
        <v>31</v>
      </c>
      <c r="G135" s="3" t="s">
        <v>50</v>
      </c>
      <c r="H135" s="3" t="s">
        <v>26</v>
      </c>
      <c r="I135" s="3" t="s">
        <v>27</v>
      </c>
      <c r="J135" s="6">
        <v>2024</v>
      </c>
      <c r="K135" s="3">
        <v>7355.17</v>
      </c>
      <c r="L135" s="3">
        <v>49412</v>
      </c>
      <c r="M135" s="3">
        <v>785</v>
      </c>
      <c r="N135" s="3">
        <v>79</v>
      </c>
      <c r="O135" s="3">
        <v>7229.21</v>
      </c>
      <c r="P135" s="9">
        <f t="shared" si="10"/>
        <v>1.588682911033757</v>
      </c>
      <c r="Q135" s="11">
        <f t="shared" si="11"/>
        <v>9.2091847133757962</v>
      </c>
      <c r="R135" s="13">
        <f t="shared" si="12"/>
        <v>91.508987341772155</v>
      </c>
      <c r="S135" s="4">
        <f t="shared" si="13"/>
        <v>1.0174237572293514</v>
      </c>
      <c r="T135" s="19" t="str">
        <f t="shared" si="14"/>
        <v>🟡 Mid</v>
      </c>
    </row>
    <row r="136" spans="1:20" x14ac:dyDescent="0.3">
      <c r="A136" s="16">
        <v>135</v>
      </c>
      <c r="B136" s="1" t="s">
        <v>90</v>
      </c>
      <c r="C136" s="1" t="s">
        <v>21</v>
      </c>
      <c r="D136" s="1" t="s">
        <v>13</v>
      </c>
      <c r="E136" s="1" t="s">
        <v>42</v>
      </c>
      <c r="F136" s="1" t="s">
        <v>24</v>
      </c>
      <c r="G136" s="1" t="s">
        <v>50</v>
      </c>
      <c r="H136" s="1" t="s">
        <v>37</v>
      </c>
      <c r="I136" s="1" t="s">
        <v>38</v>
      </c>
      <c r="J136" s="5">
        <v>2023</v>
      </c>
      <c r="K136" s="1">
        <v>19079.39</v>
      </c>
      <c r="L136" s="1">
        <v>154715</v>
      </c>
      <c r="M136" s="1">
        <v>1759</v>
      </c>
      <c r="N136" s="1">
        <v>141</v>
      </c>
      <c r="O136" s="1">
        <v>12459.16</v>
      </c>
      <c r="P136" s="8">
        <f t="shared" si="10"/>
        <v>1.1369291923860001</v>
      </c>
      <c r="Q136" s="10">
        <f t="shared" si="11"/>
        <v>7.083092666287663</v>
      </c>
      <c r="R136" s="12">
        <f t="shared" si="12"/>
        <v>88.362836879432621</v>
      </c>
      <c r="S136" s="2">
        <f t="shared" si="13"/>
        <v>1.5313544412303879</v>
      </c>
      <c r="T136" s="18" t="str">
        <f t="shared" si="14"/>
        <v>🔴 Low</v>
      </c>
    </row>
    <row r="137" spans="1:20" x14ac:dyDescent="0.3">
      <c r="A137" s="17">
        <v>136</v>
      </c>
      <c r="B137" s="3" t="s">
        <v>99</v>
      </c>
      <c r="C137" s="3" t="s">
        <v>36</v>
      </c>
      <c r="D137" s="3" t="s">
        <v>13</v>
      </c>
      <c r="E137" s="3" t="s">
        <v>56</v>
      </c>
      <c r="F137" s="3" t="s">
        <v>31</v>
      </c>
      <c r="G137" s="3" t="s">
        <v>57</v>
      </c>
      <c r="H137" s="3" t="s">
        <v>79</v>
      </c>
      <c r="I137" s="3" t="s">
        <v>45</v>
      </c>
      <c r="J137" s="6">
        <v>2023</v>
      </c>
      <c r="K137" s="3">
        <v>13741.71</v>
      </c>
      <c r="L137" s="3">
        <v>393984</v>
      </c>
      <c r="M137" s="3">
        <v>8617</v>
      </c>
      <c r="N137" s="3">
        <v>655</v>
      </c>
      <c r="O137" s="3">
        <v>12649.18</v>
      </c>
      <c r="P137" s="9">
        <f t="shared" si="10"/>
        <v>2.187144655620533</v>
      </c>
      <c r="Q137" s="11">
        <f t="shared" si="11"/>
        <v>1.4679331553905071</v>
      </c>
      <c r="R137" s="13">
        <f t="shared" si="12"/>
        <v>19.311725190839695</v>
      </c>
      <c r="S137" s="4">
        <f t="shared" si="13"/>
        <v>1.0863716066970348</v>
      </c>
      <c r="T137" s="19" t="str">
        <f t="shared" si="14"/>
        <v>🟡 Mid</v>
      </c>
    </row>
    <row r="138" spans="1:20" x14ac:dyDescent="0.3">
      <c r="A138" s="16">
        <v>137</v>
      </c>
      <c r="B138" s="1" t="s">
        <v>49</v>
      </c>
      <c r="C138" s="1" t="s">
        <v>21</v>
      </c>
      <c r="D138" s="1" t="s">
        <v>29</v>
      </c>
      <c r="E138" s="1" t="s">
        <v>23</v>
      </c>
      <c r="F138" s="1" t="s">
        <v>47</v>
      </c>
      <c r="G138" s="1" t="s">
        <v>43</v>
      </c>
      <c r="H138" s="1" t="s">
        <v>44</v>
      </c>
      <c r="I138" s="1" t="s">
        <v>45</v>
      </c>
      <c r="J138" s="5">
        <v>2024</v>
      </c>
      <c r="K138" s="1">
        <v>5367.43</v>
      </c>
      <c r="L138" s="1">
        <v>123959</v>
      </c>
      <c r="M138" s="1">
        <v>1260</v>
      </c>
      <c r="N138" s="1">
        <v>32</v>
      </c>
      <c r="O138" s="1">
        <v>5279.88</v>
      </c>
      <c r="P138" s="8">
        <f t="shared" si="10"/>
        <v>1.0164651215321194</v>
      </c>
      <c r="Q138" s="10">
        <f t="shared" si="11"/>
        <v>4.1903809523809521</v>
      </c>
      <c r="R138" s="12">
        <f t="shared" si="12"/>
        <v>164.99625</v>
      </c>
      <c r="S138" s="2">
        <f t="shared" si="13"/>
        <v>1.0165818162533997</v>
      </c>
      <c r="T138" s="18" t="str">
        <f t="shared" si="14"/>
        <v>🔴 Low</v>
      </c>
    </row>
    <row r="139" spans="1:20" x14ac:dyDescent="0.3">
      <c r="A139" s="17">
        <v>138</v>
      </c>
      <c r="B139" s="3" t="s">
        <v>94</v>
      </c>
      <c r="C139" s="3" t="s">
        <v>36</v>
      </c>
      <c r="D139" s="3" t="s">
        <v>13</v>
      </c>
      <c r="E139" s="3" t="s">
        <v>56</v>
      </c>
      <c r="F139" s="3" t="s">
        <v>24</v>
      </c>
      <c r="G139" s="3" t="s">
        <v>32</v>
      </c>
      <c r="H139" s="3" t="s">
        <v>52</v>
      </c>
      <c r="I139" s="3" t="s">
        <v>38</v>
      </c>
      <c r="J139" s="6">
        <v>2024</v>
      </c>
      <c r="K139" s="3">
        <v>4403.4799999999996</v>
      </c>
      <c r="L139" s="3">
        <v>147321</v>
      </c>
      <c r="M139" s="3">
        <v>4201</v>
      </c>
      <c r="N139" s="3">
        <v>460</v>
      </c>
      <c r="O139" s="3">
        <v>3478.12</v>
      </c>
      <c r="P139" s="9">
        <f t="shared" si="10"/>
        <v>2.8515961743403859</v>
      </c>
      <c r="Q139" s="11">
        <f t="shared" si="11"/>
        <v>0.82792668412282788</v>
      </c>
      <c r="R139" s="13">
        <f t="shared" si="12"/>
        <v>7.5611304347826085</v>
      </c>
      <c r="S139" s="4">
        <f t="shared" si="13"/>
        <v>1.2660517750968914</v>
      </c>
      <c r="T139" s="19" t="str">
        <f t="shared" si="14"/>
        <v>🟡 Mid</v>
      </c>
    </row>
    <row r="140" spans="1:20" x14ac:dyDescent="0.3">
      <c r="A140" s="16">
        <v>139</v>
      </c>
      <c r="B140" s="1" t="s">
        <v>74</v>
      </c>
      <c r="C140" s="1" t="s">
        <v>21</v>
      </c>
      <c r="D140" s="1" t="s">
        <v>22</v>
      </c>
      <c r="E140" s="1" t="s">
        <v>23</v>
      </c>
      <c r="F140" s="1" t="s">
        <v>31</v>
      </c>
      <c r="G140" s="1" t="s">
        <v>43</v>
      </c>
      <c r="H140" s="1" t="s">
        <v>54</v>
      </c>
      <c r="I140" s="1" t="s">
        <v>45</v>
      </c>
      <c r="J140" s="5">
        <v>2023</v>
      </c>
      <c r="K140" s="1">
        <v>11224.94</v>
      </c>
      <c r="L140" s="1">
        <v>309466</v>
      </c>
      <c r="M140" s="1">
        <v>4510</v>
      </c>
      <c r="N140" s="1">
        <v>70</v>
      </c>
      <c r="O140" s="1">
        <v>11106.81</v>
      </c>
      <c r="P140" s="8">
        <f t="shared" si="10"/>
        <v>1.4573491110493559</v>
      </c>
      <c r="Q140" s="10">
        <f t="shared" si="11"/>
        <v>2.4627073170731708</v>
      </c>
      <c r="R140" s="12">
        <f t="shared" si="12"/>
        <v>158.66871428571429</v>
      </c>
      <c r="S140" s="2">
        <f t="shared" si="13"/>
        <v>1.0106358171248091</v>
      </c>
      <c r="T140" s="18" t="str">
        <f t="shared" si="14"/>
        <v>🔴 Low</v>
      </c>
    </row>
    <row r="141" spans="1:20" x14ac:dyDescent="0.3">
      <c r="A141" s="17">
        <v>140</v>
      </c>
      <c r="B141" s="3" t="s">
        <v>69</v>
      </c>
      <c r="C141" s="3" t="s">
        <v>21</v>
      </c>
      <c r="D141" s="3" t="s">
        <v>13</v>
      </c>
      <c r="E141" s="3" t="s">
        <v>61</v>
      </c>
      <c r="F141" s="3" t="s">
        <v>24</v>
      </c>
      <c r="G141" s="3" t="s">
        <v>57</v>
      </c>
      <c r="H141" s="3" t="s">
        <v>83</v>
      </c>
      <c r="I141" s="3" t="s">
        <v>38</v>
      </c>
      <c r="J141" s="6">
        <v>2023</v>
      </c>
      <c r="K141" s="3">
        <v>5116.3599999999997</v>
      </c>
      <c r="L141" s="3">
        <v>523019</v>
      </c>
      <c r="M141" s="3">
        <v>439</v>
      </c>
      <c r="N141" s="3">
        <v>22</v>
      </c>
      <c r="O141" s="3">
        <v>4260.34</v>
      </c>
      <c r="P141" s="9">
        <f t="shared" si="10"/>
        <v>8.3935765239886134E-2</v>
      </c>
      <c r="Q141" s="11">
        <f t="shared" si="11"/>
        <v>9.7046469248291576</v>
      </c>
      <c r="R141" s="13">
        <f t="shared" si="12"/>
        <v>193.65181818181819</v>
      </c>
      <c r="S141" s="4">
        <f t="shared" si="13"/>
        <v>1.2009276254946788</v>
      </c>
      <c r="T141" s="19" t="str">
        <f t="shared" si="14"/>
        <v>🔴 Low</v>
      </c>
    </row>
    <row r="142" spans="1:20" x14ac:dyDescent="0.3">
      <c r="A142" s="16">
        <v>141</v>
      </c>
      <c r="B142" s="1" t="s">
        <v>66</v>
      </c>
      <c r="C142" s="1" t="s">
        <v>40</v>
      </c>
      <c r="D142" s="1" t="s">
        <v>29</v>
      </c>
      <c r="E142" s="1" t="s">
        <v>30</v>
      </c>
      <c r="F142" s="1" t="s">
        <v>31</v>
      </c>
      <c r="G142" s="1" t="s">
        <v>57</v>
      </c>
      <c r="H142" s="1" t="s">
        <v>58</v>
      </c>
      <c r="I142" s="1" t="s">
        <v>27</v>
      </c>
      <c r="J142" s="5">
        <v>2024</v>
      </c>
      <c r="K142" s="1">
        <v>8264.1200000000008</v>
      </c>
      <c r="L142" s="1">
        <v>756759</v>
      </c>
      <c r="M142" s="1">
        <v>11209</v>
      </c>
      <c r="N142" s="1">
        <v>370</v>
      </c>
      <c r="O142" s="1">
        <v>7816.23</v>
      </c>
      <c r="P142" s="8">
        <f t="shared" si="10"/>
        <v>1.4811848950590611</v>
      </c>
      <c r="Q142" s="10">
        <f t="shared" si="11"/>
        <v>0.69731733428494957</v>
      </c>
      <c r="R142" s="12">
        <f t="shared" si="12"/>
        <v>21.124945945945946</v>
      </c>
      <c r="S142" s="2">
        <f t="shared" si="13"/>
        <v>1.0573025614650542</v>
      </c>
      <c r="T142" s="18" t="str">
        <f t="shared" si="14"/>
        <v>🔴 Low</v>
      </c>
    </row>
    <row r="143" spans="1:20" x14ac:dyDescent="0.3">
      <c r="A143" s="17">
        <v>142</v>
      </c>
      <c r="B143" s="3" t="s">
        <v>65</v>
      </c>
      <c r="C143" s="3" t="s">
        <v>36</v>
      </c>
      <c r="D143" s="3" t="s">
        <v>13</v>
      </c>
      <c r="E143" s="3" t="s">
        <v>42</v>
      </c>
      <c r="F143" s="3" t="s">
        <v>47</v>
      </c>
      <c r="G143" s="3" t="s">
        <v>50</v>
      </c>
      <c r="H143" s="3" t="s">
        <v>44</v>
      </c>
      <c r="I143" s="3" t="s">
        <v>45</v>
      </c>
      <c r="J143" s="6">
        <v>2024</v>
      </c>
      <c r="K143" s="3">
        <v>3002.52</v>
      </c>
      <c r="L143" s="3">
        <v>583083</v>
      </c>
      <c r="M143" s="3">
        <v>12833</v>
      </c>
      <c r="N143" s="3">
        <v>1216</v>
      </c>
      <c r="O143" s="3">
        <v>2030.98</v>
      </c>
      <c r="P143" s="9">
        <f t="shared" si="10"/>
        <v>2.2008873522294423</v>
      </c>
      <c r="Q143" s="11">
        <f t="shared" si="11"/>
        <v>0.15826229252707863</v>
      </c>
      <c r="R143" s="13">
        <f t="shared" si="12"/>
        <v>1.6702138157894737</v>
      </c>
      <c r="S143" s="4">
        <f t="shared" si="13"/>
        <v>1.4783602004943426</v>
      </c>
      <c r="T143" s="19" t="str">
        <f t="shared" si="14"/>
        <v>🟡 Mid</v>
      </c>
    </row>
    <row r="144" spans="1:20" x14ac:dyDescent="0.3">
      <c r="A144" s="16">
        <v>143</v>
      </c>
      <c r="B144" s="1" t="s">
        <v>75</v>
      </c>
      <c r="C144" s="1" t="s">
        <v>36</v>
      </c>
      <c r="D144" s="1" t="s">
        <v>29</v>
      </c>
      <c r="E144" s="1" t="s">
        <v>42</v>
      </c>
      <c r="F144" s="1" t="s">
        <v>24</v>
      </c>
      <c r="G144" s="1" t="s">
        <v>32</v>
      </c>
      <c r="H144" s="1" t="s">
        <v>26</v>
      </c>
      <c r="I144" s="1" t="s">
        <v>27</v>
      </c>
      <c r="J144" s="5">
        <v>2024</v>
      </c>
      <c r="K144" s="1">
        <v>3710.81</v>
      </c>
      <c r="L144" s="1">
        <v>343334</v>
      </c>
      <c r="M144" s="1">
        <v>10738</v>
      </c>
      <c r="N144" s="1">
        <v>412</v>
      </c>
      <c r="O144" s="1">
        <v>3035.21</v>
      </c>
      <c r="P144" s="8">
        <f t="shared" si="10"/>
        <v>3.1275667425888489</v>
      </c>
      <c r="Q144" s="10">
        <f t="shared" si="11"/>
        <v>0.28266064444030548</v>
      </c>
      <c r="R144" s="12">
        <f t="shared" si="12"/>
        <v>7.367014563106796</v>
      </c>
      <c r="S144" s="2">
        <f t="shared" si="13"/>
        <v>1.2225875639576833</v>
      </c>
      <c r="T144" s="18" t="str">
        <f t="shared" si="14"/>
        <v>🟢 High</v>
      </c>
    </row>
    <row r="145" spans="1:20" x14ac:dyDescent="0.3">
      <c r="A145" s="17">
        <v>144</v>
      </c>
      <c r="B145" s="3" t="s">
        <v>85</v>
      </c>
      <c r="C145" s="3" t="s">
        <v>40</v>
      </c>
      <c r="D145" s="3" t="s">
        <v>13</v>
      </c>
      <c r="E145" s="3" t="s">
        <v>30</v>
      </c>
      <c r="F145" s="3" t="s">
        <v>31</v>
      </c>
      <c r="G145" s="3" t="s">
        <v>32</v>
      </c>
      <c r="H145" s="3" t="s">
        <v>52</v>
      </c>
      <c r="I145" s="3" t="s">
        <v>38</v>
      </c>
      <c r="J145" s="6">
        <v>2023</v>
      </c>
      <c r="K145" s="3">
        <v>12687.94</v>
      </c>
      <c r="L145" s="3">
        <v>649274</v>
      </c>
      <c r="M145" s="3">
        <v>9463</v>
      </c>
      <c r="N145" s="3">
        <v>826</v>
      </c>
      <c r="O145" s="3">
        <v>10290.94</v>
      </c>
      <c r="P145" s="9">
        <f t="shared" si="10"/>
        <v>1.4574740402357094</v>
      </c>
      <c r="Q145" s="11">
        <f t="shared" si="11"/>
        <v>1.0874923385818451</v>
      </c>
      <c r="R145" s="13">
        <f t="shared" si="12"/>
        <v>12.458765133171914</v>
      </c>
      <c r="S145" s="4">
        <f t="shared" si="13"/>
        <v>1.2329233286755146</v>
      </c>
      <c r="T145" s="19" t="str">
        <f t="shared" si="14"/>
        <v>🔴 Low</v>
      </c>
    </row>
    <row r="146" spans="1:20" x14ac:dyDescent="0.3">
      <c r="A146" s="16">
        <v>145</v>
      </c>
      <c r="B146" s="1" t="s">
        <v>55</v>
      </c>
      <c r="C146" s="1" t="s">
        <v>36</v>
      </c>
      <c r="D146" s="1" t="s">
        <v>46</v>
      </c>
      <c r="E146" s="1" t="s">
        <v>61</v>
      </c>
      <c r="F146" s="1" t="s">
        <v>31</v>
      </c>
      <c r="G146" s="1" t="s">
        <v>32</v>
      </c>
      <c r="H146" s="1" t="s">
        <v>37</v>
      </c>
      <c r="I146" s="1" t="s">
        <v>38</v>
      </c>
      <c r="J146" s="5">
        <v>2023</v>
      </c>
      <c r="K146" s="1">
        <v>16592.11</v>
      </c>
      <c r="L146" s="1">
        <v>34751</v>
      </c>
      <c r="M146" s="1">
        <v>1342</v>
      </c>
      <c r="N146" s="1">
        <v>115</v>
      </c>
      <c r="O146" s="1">
        <v>11799.57</v>
      </c>
      <c r="P146" s="8">
        <f t="shared" si="10"/>
        <v>3.861759373830969</v>
      </c>
      <c r="Q146" s="10">
        <f t="shared" si="11"/>
        <v>8.7925260804769003</v>
      </c>
      <c r="R146" s="12">
        <f t="shared" si="12"/>
        <v>102.60495652173913</v>
      </c>
      <c r="S146" s="2">
        <f t="shared" si="13"/>
        <v>1.4061622584551812</v>
      </c>
      <c r="T146" s="18" t="str">
        <f t="shared" si="14"/>
        <v>🟢 High</v>
      </c>
    </row>
    <row r="147" spans="1:20" x14ac:dyDescent="0.3">
      <c r="A147" s="17">
        <v>146</v>
      </c>
      <c r="B147" s="3" t="s">
        <v>75</v>
      </c>
      <c r="C147" s="3" t="s">
        <v>36</v>
      </c>
      <c r="D147" s="3" t="s">
        <v>29</v>
      </c>
      <c r="E147" s="3" t="s">
        <v>42</v>
      </c>
      <c r="F147" s="3" t="s">
        <v>47</v>
      </c>
      <c r="G147" s="3" t="s">
        <v>32</v>
      </c>
      <c r="H147" s="3" t="s">
        <v>52</v>
      </c>
      <c r="I147" s="3" t="s">
        <v>38</v>
      </c>
      <c r="J147" s="6">
        <v>2024</v>
      </c>
      <c r="K147" s="3">
        <v>9917.42</v>
      </c>
      <c r="L147" s="3">
        <v>723264</v>
      </c>
      <c r="M147" s="3">
        <v>24554</v>
      </c>
      <c r="N147" s="3">
        <v>544</v>
      </c>
      <c r="O147" s="3">
        <v>7839.61</v>
      </c>
      <c r="P147" s="9">
        <f t="shared" si="10"/>
        <v>3.3948876205645515</v>
      </c>
      <c r="Q147" s="11">
        <f t="shared" si="11"/>
        <v>0.31928036165186935</v>
      </c>
      <c r="R147" s="13">
        <f t="shared" si="12"/>
        <v>14.411047794117646</v>
      </c>
      <c r="S147" s="4">
        <f t="shared" si="13"/>
        <v>1.2650399701005535</v>
      </c>
      <c r="T147" s="19" t="str">
        <f t="shared" si="14"/>
        <v>🟢 High</v>
      </c>
    </row>
    <row r="148" spans="1:20" x14ac:dyDescent="0.3">
      <c r="A148" s="16">
        <v>147</v>
      </c>
      <c r="B148" s="1" t="s">
        <v>28</v>
      </c>
      <c r="C148" s="1" t="s">
        <v>21</v>
      </c>
      <c r="D148" s="1" t="s">
        <v>46</v>
      </c>
      <c r="E148" s="1" t="s">
        <v>56</v>
      </c>
      <c r="F148" s="1" t="s">
        <v>47</v>
      </c>
      <c r="G148" s="1" t="s">
        <v>50</v>
      </c>
      <c r="H148" s="1" t="s">
        <v>48</v>
      </c>
      <c r="I148" s="1" t="s">
        <v>34</v>
      </c>
      <c r="J148" s="5">
        <v>2023</v>
      </c>
      <c r="K148" s="1">
        <v>7133.76</v>
      </c>
      <c r="L148" s="1">
        <v>155647</v>
      </c>
      <c r="M148" s="1">
        <v>614</v>
      </c>
      <c r="N148" s="1">
        <v>51</v>
      </c>
      <c r="O148" s="1">
        <v>6859.3</v>
      </c>
      <c r="P148" s="8">
        <f t="shared" si="10"/>
        <v>0.39448238642569405</v>
      </c>
      <c r="Q148" s="10">
        <f t="shared" si="11"/>
        <v>11.171498371335506</v>
      </c>
      <c r="R148" s="12">
        <f t="shared" si="12"/>
        <v>134.49607843137255</v>
      </c>
      <c r="S148" s="2">
        <f t="shared" si="13"/>
        <v>1.0400128292974502</v>
      </c>
      <c r="T148" s="18" t="str">
        <f t="shared" si="14"/>
        <v>🔴 Low</v>
      </c>
    </row>
    <row r="149" spans="1:20" x14ac:dyDescent="0.3">
      <c r="A149" s="17">
        <v>148</v>
      </c>
      <c r="B149" s="3" t="s">
        <v>102</v>
      </c>
      <c r="C149" s="3" t="s">
        <v>40</v>
      </c>
      <c r="D149" s="3" t="s">
        <v>13</v>
      </c>
      <c r="E149" s="3" t="s">
        <v>61</v>
      </c>
      <c r="F149" s="3" t="s">
        <v>31</v>
      </c>
      <c r="G149" s="3" t="s">
        <v>57</v>
      </c>
      <c r="H149" s="3" t="s">
        <v>37</v>
      </c>
      <c r="I149" s="3" t="s">
        <v>38</v>
      </c>
      <c r="J149" s="6">
        <v>2023</v>
      </c>
      <c r="K149" s="3">
        <v>9596.2199999999993</v>
      </c>
      <c r="L149" s="3">
        <v>285464</v>
      </c>
      <c r="M149" s="3">
        <v>6666</v>
      </c>
      <c r="N149" s="3">
        <v>543</v>
      </c>
      <c r="O149" s="3">
        <v>6325.53</v>
      </c>
      <c r="P149" s="9">
        <f t="shared" si="10"/>
        <v>2.3351455875346803</v>
      </c>
      <c r="Q149" s="11">
        <f t="shared" si="11"/>
        <v>0.94892439243924387</v>
      </c>
      <c r="R149" s="13">
        <f t="shared" si="12"/>
        <v>11.649226519337017</v>
      </c>
      <c r="S149" s="4">
        <f t="shared" si="13"/>
        <v>1.5170618114213354</v>
      </c>
      <c r="T149" s="19" t="str">
        <f t="shared" si="14"/>
        <v>🟡 Mid</v>
      </c>
    </row>
    <row r="150" spans="1:20" x14ac:dyDescent="0.3">
      <c r="A150" s="16">
        <v>149</v>
      </c>
      <c r="B150" s="1" t="s">
        <v>94</v>
      </c>
      <c r="C150" s="1" t="s">
        <v>36</v>
      </c>
      <c r="D150" s="1" t="s">
        <v>41</v>
      </c>
      <c r="E150" s="1" t="s">
        <v>61</v>
      </c>
      <c r="F150" s="1" t="s">
        <v>47</v>
      </c>
      <c r="G150" s="1" t="s">
        <v>25</v>
      </c>
      <c r="H150" s="1" t="s">
        <v>26</v>
      </c>
      <c r="I150" s="1" t="s">
        <v>27</v>
      </c>
      <c r="J150" s="5">
        <v>2024</v>
      </c>
      <c r="K150" s="1">
        <v>18708.150000000001</v>
      </c>
      <c r="L150" s="1">
        <v>761157</v>
      </c>
      <c r="M150" s="1">
        <v>18832</v>
      </c>
      <c r="N150" s="1">
        <v>1880</v>
      </c>
      <c r="O150" s="1">
        <v>15269.3</v>
      </c>
      <c r="P150" s="8">
        <f t="shared" si="10"/>
        <v>2.4741282021974444</v>
      </c>
      <c r="Q150" s="10">
        <f t="shared" si="11"/>
        <v>0.81081669498725573</v>
      </c>
      <c r="R150" s="12">
        <f t="shared" si="12"/>
        <v>8.1219680851063831</v>
      </c>
      <c r="S150" s="2">
        <f t="shared" si="13"/>
        <v>1.2252133365642173</v>
      </c>
      <c r="T150" s="18" t="str">
        <f t="shared" si="14"/>
        <v>🟡 Mid</v>
      </c>
    </row>
    <row r="151" spans="1:20" x14ac:dyDescent="0.3">
      <c r="A151" s="17">
        <v>150</v>
      </c>
      <c r="B151" s="3" t="s">
        <v>77</v>
      </c>
      <c r="C151" s="3" t="s">
        <v>40</v>
      </c>
      <c r="D151" s="3" t="s">
        <v>41</v>
      </c>
      <c r="E151" s="3" t="s">
        <v>42</v>
      </c>
      <c r="F151" s="3" t="s">
        <v>24</v>
      </c>
      <c r="G151" s="3" t="s">
        <v>50</v>
      </c>
      <c r="H151" s="3" t="s">
        <v>81</v>
      </c>
      <c r="I151" s="3" t="s">
        <v>34</v>
      </c>
      <c r="J151" s="6">
        <v>2024</v>
      </c>
      <c r="K151" s="3">
        <v>19350.39</v>
      </c>
      <c r="L151" s="3">
        <v>230595</v>
      </c>
      <c r="M151" s="3">
        <v>5496</v>
      </c>
      <c r="N151" s="3">
        <v>586</v>
      </c>
      <c r="O151" s="3">
        <v>12005.69</v>
      </c>
      <c r="P151" s="9">
        <f t="shared" si="10"/>
        <v>2.3833994665972811</v>
      </c>
      <c r="Q151" s="11">
        <f t="shared" si="11"/>
        <v>2.1844414119359534</v>
      </c>
      <c r="R151" s="13">
        <f t="shared" si="12"/>
        <v>20.487525597269624</v>
      </c>
      <c r="S151" s="4">
        <f t="shared" si="13"/>
        <v>1.6117682532199313</v>
      </c>
      <c r="T151" s="19" t="str">
        <f t="shared" si="14"/>
        <v>🟡 Mid</v>
      </c>
    </row>
    <row r="152" spans="1:20" x14ac:dyDescent="0.3">
      <c r="A152" s="16">
        <v>151</v>
      </c>
      <c r="B152" s="1" t="s">
        <v>67</v>
      </c>
      <c r="C152" s="1" t="s">
        <v>40</v>
      </c>
      <c r="D152" s="1" t="s">
        <v>29</v>
      </c>
      <c r="E152" s="1" t="s">
        <v>56</v>
      </c>
      <c r="F152" s="1" t="s">
        <v>47</v>
      </c>
      <c r="G152" s="1" t="s">
        <v>32</v>
      </c>
      <c r="H152" s="1" t="s">
        <v>68</v>
      </c>
      <c r="I152" s="1" t="s">
        <v>27</v>
      </c>
      <c r="J152" s="5">
        <v>2023</v>
      </c>
      <c r="K152" s="1">
        <v>8903.09</v>
      </c>
      <c r="L152" s="1">
        <v>282319</v>
      </c>
      <c r="M152" s="1">
        <v>4179</v>
      </c>
      <c r="N152" s="1">
        <v>87</v>
      </c>
      <c r="O152" s="1">
        <v>6839.75</v>
      </c>
      <c r="P152" s="8">
        <f t="shared" si="10"/>
        <v>1.4802404372358926</v>
      </c>
      <c r="Q152" s="10">
        <f t="shared" si="11"/>
        <v>1.6366953816702561</v>
      </c>
      <c r="R152" s="12">
        <f t="shared" si="12"/>
        <v>78.617816091954026</v>
      </c>
      <c r="S152" s="2">
        <f t="shared" si="13"/>
        <v>1.3016689206476846</v>
      </c>
      <c r="T152" s="18" t="str">
        <f t="shared" si="14"/>
        <v>🔴 Low</v>
      </c>
    </row>
    <row r="153" spans="1:20" x14ac:dyDescent="0.3">
      <c r="A153" s="17">
        <v>152</v>
      </c>
      <c r="B153" s="3" t="s">
        <v>63</v>
      </c>
      <c r="C153" s="3" t="s">
        <v>21</v>
      </c>
      <c r="D153" s="3" t="s">
        <v>13</v>
      </c>
      <c r="E153" s="3" t="s">
        <v>61</v>
      </c>
      <c r="F153" s="3" t="s">
        <v>47</v>
      </c>
      <c r="G153" s="3" t="s">
        <v>57</v>
      </c>
      <c r="H153" s="3" t="s">
        <v>33</v>
      </c>
      <c r="I153" s="3" t="s">
        <v>34</v>
      </c>
      <c r="J153" s="6">
        <v>2024</v>
      </c>
      <c r="K153" s="3">
        <v>15405.88</v>
      </c>
      <c r="L153" s="3">
        <v>298308</v>
      </c>
      <c r="M153" s="3">
        <v>149</v>
      </c>
      <c r="N153" s="3">
        <v>16</v>
      </c>
      <c r="O153" s="3">
        <v>13276.19</v>
      </c>
      <c r="P153" s="9">
        <f t="shared" si="10"/>
        <v>4.9948375504512116E-2</v>
      </c>
      <c r="Q153" s="11">
        <f t="shared" si="11"/>
        <v>89.101946308724834</v>
      </c>
      <c r="R153" s="13">
        <f t="shared" si="12"/>
        <v>829.76187500000003</v>
      </c>
      <c r="S153" s="4">
        <f t="shared" si="13"/>
        <v>1.1604142453520172</v>
      </c>
      <c r="T153" s="19" t="str">
        <f t="shared" si="14"/>
        <v>🔴 Low</v>
      </c>
    </row>
    <row r="154" spans="1:20" x14ac:dyDescent="0.3">
      <c r="A154" s="16">
        <v>153</v>
      </c>
      <c r="B154" s="1" t="s">
        <v>103</v>
      </c>
      <c r="C154" s="1" t="s">
        <v>21</v>
      </c>
      <c r="D154" s="1" t="s">
        <v>46</v>
      </c>
      <c r="E154" s="1" t="s">
        <v>42</v>
      </c>
      <c r="F154" s="1" t="s">
        <v>47</v>
      </c>
      <c r="G154" s="1" t="s">
        <v>43</v>
      </c>
      <c r="H154" s="1" t="s">
        <v>37</v>
      </c>
      <c r="I154" s="1" t="s">
        <v>38</v>
      </c>
      <c r="J154" s="5">
        <v>2024</v>
      </c>
      <c r="K154" s="1">
        <v>15221.82</v>
      </c>
      <c r="L154" s="1">
        <v>213727</v>
      </c>
      <c r="M154" s="1">
        <v>630</v>
      </c>
      <c r="N154" s="1">
        <v>26</v>
      </c>
      <c r="O154" s="1">
        <v>9381.8799999999992</v>
      </c>
      <c r="P154" s="8">
        <f t="shared" si="10"/>
        <v>0.2947685598918246</v>
      </c>
      <c r="Q154" s="10">
        <f t="shared" si="11"/>
        <v>14.891873015873015</v>
      </c>
      <c r="R154" s="12">
        <f t="shared" si="12"/>
        <v>360.84153846153845</v>
      </c>
      <c r="S154" s="2">
        <f t="shared" si="13"/>
        <v>1.6224701232588778</v>
      </c>
      <c r="T154" s="18" t="str">
        <f t="shared" si="14"/>
        <v>🔴 Low</v>
      </c>
    </row>
    <row r="155" spans="1:20" x14ac:dyDescent="0.3">
      <c r="A155" s="17">
        <v>154</v>
      </c>
      <c r="B155" s="3" t="s">
        <v>95</v>
      </c>
      <c r="C155" s="3" t="s">
        <v>21</v>
      </c>
      <c r="D155" s="3" t="s">
        <v>41</v>
      </c>
      <c r="E155" s="3" t="s">
        <v>61</v>
      </c>
      <c r="F155" s="3" t="s">
        <v>47</v>
      </c>
      <c r="G155" s="3" t="s">
        <v>25</v>
      </c>
      <c r="H155" s="3" t="s">
        <v>79</v>
      </c>
      <c r="I155" s="3" t="s">
        <v>45</v>
      </c>
      <c r="J155" s="6">
        <v>2023</v>
      </c>
      <c r="K155" s="3">
        <v>6895.33</v>
      </c>
      <c r="L155" s="3">
        <v>647848</v>
      </c>
      <c r="M155" s="3">
        <v>2565</v>
      </c>
      <c r="N155" s="3">
        <v>219</v>
      </c>
      <c r="O155" s="3">
        <v>5275.21</v>
      </c>
      <c r="P155" s="9">
        <f t="shared" si="10"/>
        <v>0.39592620491226338</v>
      </c>
      <c r="Q155" s="11">
        <f t="shared" si="11"/>
        <v>2.0566120857699803</v>
      </c>
      <c r="R155" s="13">
        <f t="shared" si="12"/>
        <v>24.08771689497717</v>
      </c>
      <c r="S155" s="4">
        <f t="shared" si="13"/>
        <v>1.3071195269951339</v>
      </c>
      <c r="T155" s="19" t="str">
        <f t="shared" si="14"/>
        <v>🔴 Low</v>
      </c>
    </row>
    <row r="156" spans="1:20" x14ac:dyDescent="0.3">
      <c r="A156" s="16">
        <v>155</v>
      </c>
      <c r="B156" s="1" t="s">
        <v>59</v>
      </c>
      <c r="C156" s="1" t="s">
        <v>21</v>
      </c>
      <c r="D156" s="1" t="s">
        <v>29</v>
      </c>
      <c r="E156" s="1" t="s">
        <v>23</v>
      </c>
      <c r="F156" s="1" t="s">
        <v>31</v>
      </c>
      <c r="G156" s="1" t="s">
        <v>32</v>
      </c>
      <c r="H156" s="1" t="s">
        <v>81</v>
      </c>
      <c r="I156" s="1" t="s">
        <v>34</v>
      </c>
      <c r="J156" s="5">
        <v>2024</v>
      </c>
      <c r="K156" s="1">
        <v>14320.43</v>
      </c>
      <c r="L156" s="1">
        <v>319353</v>
      </c>
      <c r="M156" s="1">
        <v>1946</v>
      </c>
      <c r="N156" s="1">
        <v>38</v>
      </c>
      <c r="O156" s="1">
        <v>9251.48</v>
      </c>
      <c r="P156" s="8">
        <f t="shared" si="10"/>
        <v>0.60935704377287825</v>
      </c>
      <c r="Q156" s="10">
        <f t="shared" si="11"/>
        <v>4.7541007194244598</v>
      </c>
      <c r="R156" s="12">
        <f t="shared" si="12"/>
        <v>243.45999999999998</v>
      </c>
      <c r="S156" s="2">
        <f t="shared" si="13"/>
        <v>1.5479069294858769</v>
      </c>
      <c r="T156" s="18" t="str">
        <f t="shared" si="14"/>
        <v>🔴 Low</v>
      </c>
    </row>
    <row r="157" spans="1:20" x14ac:dyDescent="0.3">
      <c r="A157" s="17">
        <v>156</v>
      </c>
      <c r="B157" s="3" t="s">
        <v>101</v>
      </c>
      <c r="C157" s="3" t="s">
        <v>40</v>
      </c>
      <c r="D157" s="3" t="s">
        <v>22</v>
      </c>
      <c r="E157" s="3" t="s">
        <v>61</v>
      </c>
      <c r="F157" s="3" t="s">
        <v>47</v>
      </c>
      <c r="G157" s="3" t="s">
        <v>43</v>
      </c>
      <c r="H157" s="3" t="s">
        <v>44</v>
      </c>
      <c r="I157" s="3" t="s">
        <v>45</v>
      </c>
      <c r="J157" s="6">
        <v>2023</v>
      </c>
      <c r="K157" s="3">
        <v>14567.3</v>
      </c>
      <c r="L157" s="3">
        <v>616868</v>
      </c>
      <c r="M157" s="3">
        <v>9958</v>
      </c>
      <c r="N157" s="3">
        <v>121</v>
      </c>
      <c r="O157" s="3">
        <v>11947.77</v>
      </c>
      <c r="P157" s="9">
        <f t="shared" si="10"/>
        <v>1.6142837689748859</v>
      </c>
      <c r="Q157" s="11">
        <f t="shared" si="11"/>
        <v>1.1998162281582647</v>
      </c>
      <c r="R157" s="13">
        <f t="shared" si="12"/>
        <v>98.741900826446283</v>
      </c>
      <c r="S157" s="4">
        <f t="shared" si="13"/>
        <v>1.2192484455258177</v>
      </c>
      <c r="T157" s="19" t="str">
        <f t="shared" si="14"/>
        <v>🟡 Mid</v>
      </c>
    </row>
    <row r="158" spans="1:20" x14ac:dyDescent="0.3">
      <c r="A158" s="16">
        <v>157</v>
      </c>
      <c r="B158" s="1" t="s">
        <v>90</v>
      </c>
      <c r="C158" s="1" t="s">
        <v>21</v>
      </c>
      <c r="D158" s="1" t="s">
        <v>46</v>
      </c>
      <c r="E158" s="1" t="s">
        <v>30</v>
      </c>
      <c r="F158" s="1" t="s">
        <v>24</v>
      </c>
      <c r="G158" s="1" t="s">
        <v>32</v>
      </c>
      <c r="H158" s="1" t="s">
        <v>54</v>
      </c>
      <c r="I158" s="1" t="s">
        <v>45</v>
      </c>
      <c r="J158" s="5">
        <v>2023</v>
      </c>
      <c r="K158" s="1">
        <v>4220.29</v>
      </c>
      <c r="L158" s="1">
        <v>467462</v>
      </c>
      <c r="M158" s="1">
        <v>2750</v>
      </c>
      <c r="N158" s="1">
        <v>223</v>
      </c>
      <c r="O158" s="1">
        <v>3259.58</v>
      </c>
      <c r="P158" s="8">
        <f t="shared" si="10"/>
        <v>0.58828311178234804</v>
      </c>
      <c r="Q158" s="10">
        <f t="shared" si="11"/>
        <v>1.1853018181818182</v>
      </c>
      <c r="R158" s="12">
        <f t="shared" si="12"/>
        <v>14.616950672645739</v>
      </c>
      <c r="S158" s="2">
        <f t="shared" si="13"/>
        <v>1.2947342909209163</v>
      </c>
      <c r="T158" s="18" t="str">
        <f t="shared" si="14"/>
        <v>🔴 Low</v>
      </c>
    </row>
    <row r="159" spans="1:20" x14ac:dyDescent="0.3">
      <c r="A159" s="17">
        <v>158</v>
      </c>
      <c r="B159" s="3" t="s">
        <v>53</v>
      </c>
      <c r="C159" s="3" t="s">
        <v>21</v>
      </c>
      <c r="D159" s="3" t="s">
        <v>22</v>
      </c>
      <c r="E159" s="3" t="s">
        <v>30</v>
      </c>
      <c r="F159" s="3" t="s">
        <v>31</v>
      </c>
      <c r="G159" s="3" t="s">
        <v>25</v>
      </c>
      <c r="H159" s="3" t="s">
        <v>81</v>
      </c>
      <c r="I159" s="3" t="s">
        <v>34</v>
      </c>
      <c r="J159" s="6">
        <v>2024</v>
      </c>
      <c r="K159" s="3">
        <v>19963.400000000001</v>
      </c>
      <c r="L159" s="3">
        <v>506608</v>
      </c>
      <c r="M159" s="3">
        <v>4883</v>
      </c>
      <c r="N159" s="3">
        <v>62</v>
      </c>
      <c r="O159" s="3">
        <v>14608.74</v>
      </c>
      <c r="P159" s="9">
        <f t="shared" si="10"/>
        <v>0.96386160502795049</v>
      </c>
      <c r="Q159" s="11">
        <f t="shared" si="11"/>
        <v>2.9917550686053653</v>
      </c>
      <c r="R159" s="13">
        <f t="shared" si="12"/>
        <v>235.62483870967742</v>
      </c>
      <c r="S159" s="4">
        <f t="shared" si="13"/>
        <v>1.366538113485489</v>
      </c>
      <c r="T159" s="19" t="str">
        <f t="shared" si="14"/>
        <v>🔴 Low</v>
      </c>
    </row>
    <row r="160" spans="1:20" x14ac:dyDescent="0.3">
      <c r="A160" s="16">
        <v>159</v>
      </c>
      <c r="B160" s="1" t="s">
        <v>86</v>
      </c>
      <c r="C160" s="1" t="s">
        <v>36</v>
      </c>
      <c r="D160" s="1" t="s">
        <v>29</v>
      </c>
      <c r="E160" s="1" t="s">
        <v>23</v>
      </c>
      <c r="F160" s="1" t="s">
        <v>31</v>
      </c>
      <c r="G160" s="1" t="s">
        <v>43</v>
      </c>
      <c r="H160" s="1" t="s">
        <v>44</v>
      </c>
      <c r="I160" s="1" t="s">
        <v>45</v>
      </c>
      <c r="J160" s="5">
        <v>2024</v>
      </c>
      <c r="K160" s="1">
        <v>12396.49</v>
      </c>
      <c r="L160" s="1">
        <v>206603</v>
      </c>
      <c r="M160" s="1">
        <v>6590</v>
      </c>
      <c r="N160" s="1">
        <v>124</v>
      </c>
      <c r="O160" s="1">
        <v>12339.76</v>
      </c>
      <c r="P160" s="8">
        <f t="shared" si="10"/>
        <v>3.1896923084369542</v>
      </c>
      <c r="Q160" s="10">
        <f t="shared" si="11"/>
        <v>1.8724977238239757</v>
      </c>
      <c r="R160" s="12">
        <f t="shared" si="12"/>
        <v>99.514193548387098</v>
      </c>
      <c r="S160" s="2">
        <f t="shared" si="13"/>
        <v>1.0045973341458829</v>
      </c>
      <c r="T160" s="18" t="str">
        <f t="shared" si="14"/>
        <v>🟢 High</v>
      </c>
    </row>
    <row r="161" spans="1:20" x14ac:dyDescent="0.3">
      <c r="A161" s="17">
        <v>160</v>
      </c>
      <c r="B161" s="3" t="s">
        <v>77</v>
      </c>
      <c r="C161" s="3" t="s">
        <v>40</v>
      </c>
      <c r="D161" s="3" t="s">
        <v>46</v>
      </c>
      <c r="E161" s="3" t="s">
        <v>56</v>
      </c>
      <c r="F161" s="3" t="s">
        <v>47</v>
      </c>
      <c r="G161" s="3" t="s">
        <v>50</v>
      </c>
      <c r="H161" s="3" t="s">
        <v>37</v>
      </c>
      <c r="I161" s="3" t="s">
        <v>38</v>
      </c>
      <c r="J161" s="6">
        <v>2024</v>
      </c>
      <c r="K161" s="3">
        <v>6111.89</v>
      </c>
      <c r="L161" s="3">
        <v>606334</v>
      </c>
      <c r="M161" s="3">
        <v>9051</v>
      </c>
      <c r="N161" s="3">
        <v>729</v>
      </c>
      <c r="O161" s="3">
        <v>4641.8100000000004</v>
      </c>
      <c r="P161" s="9">
        <f t="shared" si="10"/>
        <v>1.4927416242532994</v>
      </c>
      <c r="Q161" s="11">
        <f t="shared" si="11"/>
        <v>0.51285051375538615</v>
      </c>
      <c r="R161" s="13">
        <f t="shared" si="12"/>
        <v>6.3673662551440335</v>
      </c>
      <c r="S161" s="4">
        <f t="shared" si="13"/>
        <v>1.316704044327536</v>
      </c>
      <c r="T161" s="19" t="str">
        <f t="shared" si="14"/>
        <v>🔴 Low</v>
      </c>
    </row>
    <row r="162" spans="1:20" x14ac:dyDescent="0.3">
      <c r="A162" s="16">
        <v>161</v>
      </c>
      <c r="B162" s="1" t="s">
        <v>100</v>
      </c>
      <c r="C162" s="1" t="s">
        <v>40</v>
      </c>
      <c r="D162" s="1" t="s">
        <v>46</v>
      </c>
      <c r="E162" s="1" t="s">
        <v>23</v>
      </c>
      <c r="F162" s="1" t="s">
        <v>24</v>
      </c>
      <c r="G162" s="1" t="s">
        <v>43</v>
      </c>
      <c r="H162" s="1" t="s">
        <v>54</v>
      </c>
      <c r="I162" s="1" t="s">
        <v>45</v>
      </c>
      <c r="J162" s="5">
        <v>2023</v>
      </c>
      <c r="K162" s="1">
        <v>7254.09</v>
      </c>
      <c r="L162" s="1">
        <v>468864</v>
      </c>
      <c r="M162" s="1">
        <v>5335</v>
      </c>
      <c r="N162" s="1">
        <v>281</v>
      </c>
      <c r="O162" s="1">
        <v>6874.99</v>
      </c>
      <c r="P162" s="8">
        <f t="shared" si="10"/>
        <v>1.1378566066066065</v>
      </c>
      <c r="Q162" s="10">
        <f t="shared" si="11"/>
        <v>1.2886579194001875</v>
      </c>
      <c r="R162" s="12">
        <f t="shared" si="12"/>
        <v>24.466156583629893</v>
      </c>
      <c r="S162" s="2">
        <f t="shared" si="13"/>
        <v>1.0551418983882159</v>
      </c>
      <c r="T162" s="18" t="str">
        <f t="shared" si="14"/>
        <v>🔴 Low</v>
      </c>
    </row>
    <row r="163" spans="1:20" x14ac:dyDescent="0.3">
      <c r="A163" s="17">
        <v>162</v>
      </c>
      <c r="B163" s="3" t="s">
        <v>101</v>
      </c>
      <c r="C163" s="3" t="s">
        <v>40</v>
      </c>
      <c r="D163" s="3" t="s">
        <v>46</v>
      </c>
      <c r="E163" s="3" t="s">
        <v>42</v>
      </c>
      <c r="F163" s="3" t="s">
        <v>31</v>
      </c>
      <c r="G163" s="3" t="s">
        <v>32</v>
      </c>
      <c r="H163" s="3" t="s">
        <v>83</v>
      </c>
      <c r="I163" s="3" t="s">
        <v>38</v>
      </c>
      <c r="J163" s="6">
        <v>2023</v>
      </c>
      <c r="K163" s="3">
        <v>1489.93</v>
      </c>
      <c r="L163" s="3">
        <v>561837</v>
      </c>
      <c r="M163" s="3">
        <v>5119</v>
      </c>
      <c r="N163" s="3">
        <v>274</v>
      </c>
      <c r="O163" s="3">
        <v>1039.6600000000001</v>
      </c>
      <c r="P163" s="9">
        <f t="shared" si="10"/>
        <v>0.91111834927211988</v>
      </c>
      <c r="Q163" s="11">
        <f t="shared" si="11"/>
        <v>0.20309826137917564</v>
      </c>
      <c r="R163" s="13">
        <f t="shared" si="12"/>
        <v>3.7943795620437961</v>
      </c>
      <c r="S163" s="4">
        <f t="shared" si="13"/>
        <v>1.4330935113402459</v>
      </c>
      <c r="T163" s="19" t="str">
        <f t="shared" si="14"/>
        <v>🔴 Low</v>
      </c>
    </row>
    <row r="164" spans="1:20" x14ac:dyDescent="0.3">
      <c r="A164" s="16">
        <v>163</v>
      </c>
      <c r="B164" s="1" t="s">
        <v>35</v>
      </c>
      <c r="C164" s="1" t="s">
        <v>36</v>
      </c>
      <c r="D164" s="1" t="s">
        <v>13</v>
      </c>
      <c r="E164" s="1" t="s">
        <v>56</v>
      </c>
      <c r="F164" s="1" t="s">
        <v>24</v>
      </c>
      <c r="G164" s="1" t="s">
        <v>25</v>
      </c>
      <c r="H164" s="1" t="s">
        <v>68</v>
      </c>
      <c r="I164" s="1" t="s">
        <v>27</v>
      </c>
      <c r="J164" s="5">
        <v>2023</v>
      </c>
      <c r="K164" s="1">
        <v>8434.7000000000007</v>
      </c>
      <c r="L164" s="1">
        <v>503807</v>
      </c>
      <c r="M164" s="1">
        <v>12443</v>
      </c>
      <c r="N164" s="1">
        <v>1461</v>
      </c>
      <c r="O164" s="1">
        <v>6198.58</v>
      </c>
      <c r="P164" s="8">
        <f t="shared" si="10"/>
        <v>2.4697949810145552</v>
      </c>
      <c r="Q164" s="10">
        <f t="shared" si="11"/>
        <v>0.49815800048219883</v>
      </c>
      <c r="R164" s="12">
        <f t="shared" si="12"/>
        <v>4.242696783025325</v>
      </c>
      <c r="S164" s="2">
        <f t="shared" si="13"/>
        <v>1.3607471388608361</v>
      </c>
      <c r="T164" s="18" t="str">
        <f t="shared" si="14"/>
        <v>🟡 Mid</v>
      </c>
    </row>
    <row r="165" spans="1:20" x14ac:dyDescent="0.3">
      <c r="A165" s="17">
        <v>164</v>
      </c>
      <c r="B165" s="3" t="s">
        <v>28</v>
      </c>
      <c r="C165" s="3" t="s">
        <v>21</v>
      </c>
      <c r="D165" s="3" t="s">
        <v>22</v>
      </c>
      <c r="E165" s="3" t="s">
        <v>61</v>
      </c>
      <c r="F165" s="3" t="s">
        <v>24</v>
      </c>
      <c r="G165" s="3" t="s">
        <v>32</v>
      </c>
      <c r="H165" s="3" t="s">
        <v>54</v>
      </c>
      <c r="I165" s="3" t="s">
        <v>45</v>
      </c>
      <c r="J165" s="6">
        <v>2023</v>
      </c>
      <c r="K165" s="3">
        <v>18307.98</v>
      </c>
      <c r="L165" s="3">
        <v>188568</v>
      </c>
      <c r="M165" s="3">
        <v>1408</v>
      </c>
      <c r="N165" s="3">
        <v>15</v>
      </c>
      <c r="O165" s="3">
        <v>17425.43</v>
      </c>
      <c r="P165" s="9">
        <f t="shared" si="10"/>
        <v>0.74668024267107891</v>
      </c>
      <c r="Q165" s="11">
        <f t="shared" si="11"/>
        <v>12.376015625000001</v>
      </c>
      <c r="R165" s="13">
        <f t="shared" si="12"/>
        <v>1161.6953333333333</v>
      </c>
      <c r="S165" s="4">
        <f t="shared" si="13"/>
        <v>1.0506472437122067</v>
      </c>
      <c r="T165" s="19" t="str">
        <f t="shared" si="14"/>
        <v>🔴 Low</v>
      </c>
    </row>
    <row r="166" spans="1:20" x14ac:dyDescent="0.3">
      <c r="A166" s="16">
        <v>165</v>
      </c>
      <c r="B166" s="1" t="s">
        <v>35</v>
      </c>
      <c r="C166" s="1" t="s">
        <v>36</v>
      </c>
      <c r="D166" s="1" t="s">
        <v>41</v>
      </c>
      <c r="E166" s="1" t="s">
        <v>30</v>
      </c>
      <c r="F166" s="1" t="s">
        <v>31</v>
      </c>
      <c r="G166" s="1" t="s">
        <v>43</v>
      </c>
      <c r="H166" s="1" t="s">
        <v>68</v>
      </c>
      <c r="I166" s="1" t="s">
        <v>27</v>
      </c>
      <c r="J166" s="5">
        <v>2023</v>
      </c>
      <c r="K166" s="1">
        <v>6318.65</v>
      </c>
      <c r="L166" s="1">
        <v>637063</v>
      </c>
      <c r="M166" s="1">
        <v>24941</v>
      </c>
      <c r="N166" s="1">
        <v>2064</v>
      </c>
      <c r="O166" s="1">
        <v>6416.09</v>
      </c>
      <c r="P166" s="8">
        <f t="shared" si="10"/>
        <v>3.9149974178377964</v>
      </c>
      <c r="Q166" s="10">
        <f t="shared" si="11"/>
        <v>0.25725071167956376</v>
      </c>
      <c r="R166" s="12">
        <f t="shared" si="12"/>
        <v>3.1085707364341086</v>
      </c>
      <c r="S166" s="2">
        <f t="shared" si="13"/>
        <v>0.98481318061311474</v>
      </c>
      <c r="T166" s="18" t="str">
        <f t="shared" si="14"/>
        <v>🟢 High</v>
      </c>
    </row>
    <row r="167" spans="1:20" x14ac:dyDescent="0.3">
      <c r="A167" s="17">
        <v>166</v>
      </c>
      <c r="B167" s="3" t="s">
        <v>74</v>
      </c>
      <c r="C167" s="3" t="s">
        <v>21</v>
      </c>
      <c r="D167" s="3" t="s">
        <v>46</v>
      </c>
      <c r="E167" s="3" t="s">
        <v>61</v>
      </c>
      <c r="F167" s="3" t="s">
        <v>47</v>
      </c>
      <c r="G167" s="3" t="s">
        <v>43</v>
      </c>
      <c r="H167" s="3" t="s">
        <v>83</v>
      </c>
      <c r="I167" s="3" t="s">
        <v>38</v>
      </c>
      <c r="J167" s="6">
        <v>2023</v>
      </c>
      <c r="K167" s="3">
        <v>6948.34</v>
      </c>
      <c r="L167" s="3">
        <v>771634</v>
      </c>
      <c r="M167" s="3">
        <v>12276</v>
      </c>
      <c r="N167" s="3">
        <v>829</v>
      </c>
      <c r="O167" s="3">
        <v>4919.78</v>
      </c>
      <c r="P167" s="9">
        <f t="shared" si="10"/>
        <v>1.5909096799778133</v>
      </c>
      <c r="Q167" s="11">
        <f t="shared" si="11"/>
        <v>0.40076409253828604</v>
      </c>
      <c r="R167" s="13">
        <f t="shared" si="12"/>
        <v>5.9345958986731002</v>
      </c>
      <c r="S167" s="4">
        <f t="shared" si="13"/>
        <v>1.4123273804926237</v>
      </c>
      <c r="T167" s="19" t="str">
        <f t="shared" si="14"/>
        <v>🟡 Mid</v>
      </c>
    </row>
    <row r="168" spans="1:20" x14ac:dyDescent="0.3">
      <c r="A168" s="16">
        <v>167</v>
      </c>
      <c r="B168" s="1" t="s">
        <v>91</v>
      </c>
      <c r="C168" s="1" t="s">
        <v>36</v>
      </c>
      <c r="D168" s="1" t="s">
        <v>13</v>
      </c>
      <c r="E168" s="1" t="s">
        <v>23</v>
      </c>
      <c r="F168" s="1" t="s">
        <v>31</v>
      </c>
      <c r="G168" s="1" t="s">
        <v>25</v>
      </c>
      <c r="H168" s="1" t="s">
        <v>26</v>
      </c>
      <c r="I168" s="1" t="s">
        <v>27</v>
      </c>
      <c r="J168" s="5">
        <v>2024</v>
      </c>
      <c r="K168" s="1">
        <v>16626.3</v>
      </c>
      <c r="L168" s="1">
        <v>545310</v>
      </c>
      <c r="M168" s="1">
        <v>13970</v>
      </c>
      <c r="N168" s="1">
        <v>791</v>
      </c>
      <c r="O168" s="1">
        <v>16830.93</v>
      </c>
      <c r="P168" s="8">
        <f t="shared" si="10"/>
        <v>2.5618455557389375</v>
      </c>
      <c r="Q168" s="10">
        <f t="shared" si="11"/>
        <v>1.2047909806728705</v>
      </c>
      <c r="R168" s="12">
        <f t="shared" si="12"/>
        <v>21.278040455120102</v>
      </c>
      <c r="S168" s="2">
        <f t="shared" si="13"/>
        <v>0.98784202655468234</v>
      </c>
      <c r="T168" s="18" t="str">
        <f t="shared" si="14"/>
        <v>🟡 Mid</v>
      </c>
    </row>
    <row r="169" spans="1:20" x14ac:dyDescent="0.3">
      <c r="A169" s="17">
        <v>168</v>
      </c>
      <c r="B169" s="3" t="s">
        <v>96</v>
      </c>
      <c r="C169" s="3" t="s">
        <v>40</v>
      </c>
      <c r="D169" s="3" t="s">
        <v>46</v>
      </c>
      <c r="E169" s="3" t="s">
        <v>42</v>
      </c>
      <c r="F169" s="3" t="s">
        <v>47</v>
      </c>
      <c r="G169" s="3" t="s">
        <v>50</v>
      </c>
      <c r="H169" s="3" t="s">
        <v>83</v>
      </c>
      <c r="I169" s="3" t="s">
        <v>38</v>
      </c>
      <c r="J169" s="6">
        <v>2024</v>
      </c>
      <c r="K169" s="3">
        <v>15198.25</v>
      </c>
      <c r="L169" s="3">
        <v>350637</v>
      </c>
      <c r="M169" s="3">
        <v>7176</v>
      </c>
      <c r="N169" s="3">
        <v>417</v>
      </c>
      <c r="O169" s="3">
        <v>13733.3</v>
      </c>
      <c r="P169" s="9">
        <f t="shared" si="10"/>
        <v>2.0465609733142824</v>
      </c>
      <c r="Q169" s="11">
        <f t="shared" si="11"/>
        <v>1.9137820512820511</v>
      </c>
      <c r="R169" s="13">
        <f t="shared" si="12"/>
        <v>32.933573141486811</v>
      </c>
      <c r="S169" s="4">
        <f t="shared" si="13"/>
        <v>1.1066713754159598</v>
      </c>
      <c r="T169" s="19" t="str">
        <f t="shared" si="14"/>
        <v>🟡 Mid</v>
      </c>
    </row>
    <row r="170" spans="1:20" x14ac:dyDescent="0.3">
      <c r="A170" s="16">
        <v>169</v>
      </c>
      <c r="B170" s="1" t="s">
        <v>94</v>
      </c>
      <c r="C170" s="1" t="s">
        <v>36</v>
      </c>
      <c r="D170" s="1" t="s">
        <v>13</v>
      </c>
      <c r="E170" s="1" t="s">
        <v>30</v>
      </c>
      <c r="F170" s="1" t="s">
        <v>24</v>
      </c>
      <c r="G170" s="1" t="s">
        <v>57</v>
      </c>
      <c r="H170" s="1" t="s">
        <v>48</v>
      </c>
      <c r="I170" s="1" t="s">
        <v>34</v>
      </c>
      <c r="J170" s="5">
        <v>2024</v>
      </c>
      <c r="K170" s="1">
        <v>3614.48</v>
      </c>
      <c r="L170" s="1">
        <v>724400</v>
      </c>
      <c r="M170" s="1">
        <v>12592</v>
      </c>
      <c r="N170" s="1">
        <v>1249</v>
      </c>
      <c r="O170" s="1">
        <v>2640.78</v>
      </c>
      <c r="P170" s="8">
        <f t="shared" si="10"/>
        <v>1.7382661512976256</v>
      </c>
      <c r="Q170" s="10">
        <f t="shared" si="11"/>
        <v>0.20971886912325288</v>
      </c>
      <c r="R170" s="12">
        <f t="shared" si="12"/>
        <v>2.1143154523618897</v>
      </c>
      <c r="S170" s="2">
        <f t="shared" si="13"/>
        <v>1.3687168185157415</v>
      </c>
      <c r="T170" s="18" t="str">
        <f t="shared" si="14"/>
        <v>🟡 Mid</v>
      </c>
    </row>
    <row r="171" spans="1:20" x14ac:dyDescent="0.3">
      <c r="A171" s="17">
        <v>170</v>
      </c>
      <c r="B171" s="3" t="s">
        <v>94</v>
      </c>
      <c r="C171" s="3" t="s">
        <v>36</v>
      </c>
      <c r="D171" s="3" t="s">
        <v>13</v>
      </c>
      <c r="E171" s="3" t="s">
        <v>61</v>
      </c>
      <c r="F171" s="3" t="s">
        <v>24</v>
      </c>
      <c r="G171" s="3" t="s">
        <v>25</v>
      </c>
      <c r="H171" s="3" t="s">
        <v>26</v>
      </c>
      <c r="I171" s="3" t="s">
        <v>27</v>
      </c>
      <c r="J171" s="6">
        <v>2024</v>
      </c>
      <c r="K171" s="3">
        <v>3487.12</v>
      </c>
      <c r="L171" s="3">
        <v>789056</v>
      </c>
      <c r="M171" s="3">
        <v>21960</v>
      </c>
      <c r="N171" s="3">
        <v>2618</v>
      </c>
      <c r="O171" s="3">
        <v>2639.48</v>
      </c>
      <c r="P171" s="9">
        <f t="shared" si="10"/>
        <v>2.7830724308540842</v>
      </c>
      <c r="Q171" s="11">
        <f t="shared" si="11"/>
        <v>0.12019489981785064</v>
      </c>
      <c r="R171" s="13">
        <f t="shared" si="12"/>
        <v>1.0082047364400306</v>
      </c>
      <c r="S171" s="4">
        <f t="shared" si="13"/>
        <v>1.3211390122296816</v>
      </c>
      <c r="T171" s="19" t="str">
        <f t="shared" si="14"/>
        <v>🟡 Mid</v>
      </c>
    </row>
    <row r="172" spans="1:20" x14ac:dyDescent="0.3">
      <c r="A172" s="16">
        <v>171</v>
      </c>
      <c r="B172" s="1" t="s">
        <v>53</v>
      </c>
      <c r="C172" s="1" t="s">
        <v>21</v>
      </c>
      <c r="D172" s="1" t="s">
        <v>29</v>
      </c>
      <c r="E172" s="1" t="s">
        <v>30</v>
      </c>
      <c r="F172" s="1" t="s">
        <v>24</v>
      </c>
      <c r="G172" s="1" t="s">
        <v>32</v>
      </c>
      <c r="H172" s="1" t="s">
        <v>58</v>
      </c>
      <c r="I172" s="1" t="s">
        <v>27</v>
      </c>
      <c r="J172" s="5">
        <v>2024</v>
      </c>
      <c r="K172" s="1">
        <v>10799.38</v>
      </c>
      <c r="L172" s="1">
        <v>384358</v>
      </c>
      <c r="M172" s="1">
        <v>4875</v>
      </c>
      <c r="N172" s="1">
        <v>57</v>
      </c>
      <c r="O172" s="1">
        <v>8963.6200000000008</v>
      </c>
      <c r="P172" s="8">
        <f t="shared" si="10"/>
        <v>1.2683487790029087</v>
      </c>
      <c r="Q172" s="10">
        <f t="shared" si="11"/>
        <v>1.8386912820512822</v>
      </c>
      <c r="R172" s="12">
        <f t="shared" si="12"/>
        <v>157.25649122807019</v>
      </c>
      <c r="S172" s="2">
        <f t="shared" si="13"/>
        <v>1.2048011852354292</v>
      </c>
      <c r="T172" s="18" t="str">
        <f t="shared" si="14"/>
        <v>🔴 Low</v>
      </c>
    </row>
    <row r="173" spans="1:20" x14ac:dyDescent="0.3">
      <c r="A173" s="17">
        <v>172</v>
      </c>
      <c r="B173" s="3" t="s">
        <v>63</v>
      </c>
      <c r="C173" s="3" t="s">
        <v>21</v>
      </c>
      <c r="D173" s="3" t="s">
        <v>29</v>
      </c>
      <c r="E173" s="3" t="s">
        <v>61</v>
      </c>
      <c r="F173" s="3" t="s">
        <v>24</v>
      </c>
      <c r="G173" s="3" t="s">
        <v>25</v>
      </c>
      <c r="H173" s="3" t="s">
        <v>37</v>
      </c>
      <c r="I173" s="3" t="s">
        <v>38</v>
      </c>
      <c r="J173" s="6">
        <v>2024</v>
      </c>
      <c r="K173" s="3">
        <v>2766.68</v>
      </c>
      <c r="L173" s="3">
        <v>220379</v>
      </c>
      <c r="M173" s="3">
        <v>2211</v>
      </c>
      <c r="N173" s="3">
        <v>69</v>
      </c>
      <c r="O173" s="3">
        <v>2228.0300000000002</v>
      </c>
      <c r="P173" s="9">
        <f t="shared" si="10"/>
        <v>1.0032716365896932</v>
      </c>
      <c r="Q173" s="11">
        <f t="shared" si="11"/>
        <v>1.0077023971053822</v>
      </c>
      <c r="R173" s="13">
        <f t="shared" si="12"/>
        <v>32.290289855072466</v>
      </c>
      <c r="S173" s="4">
        <f t="shared" si="13"/>
        <v>1.2417606585189604</v>
      </c>
      <c r="T173" s="19" t="str">
        <f t="shared" si="14"/>
        <v>🔴 Low</v>
      </c>
    </row>
    <row r="174" spans="1:20" x14ac:dyDescent="0.3">
      <c r="A174" s="16">
        <v>173</v>
      </c>
      <c r="B174" s="1" t="s">
        <v>53</v>
      </c>
      <c r="C174" s="1" t="s">
        <v>21</v>
      </c>
      <c r="D174" s="1" t="s">
        <v>22</v>
      </c>
      <c r="E174" s="1" t="s">
        <v>56</v>
      </c>
      <c r="F174" s="1" t="s">
        <v>24</v>
      </c>
      <c r="G174" s="1" t="s">
        <v>32</v>
      </c>
      <c r="H174" s="1" t="s">
        <v>33</v>
      </c>
      <c r="I174" s="1" t="s">
        <v>34</v>
      </c>
      <c r="J174" s="5">
        <v>2024</v>
      </c>
      <c r="K174" s="1">
        <v>11496.27</v>
      </c>
      <c r="L174" s="1">
        <v>590941</v>
      </c>
      <c r="M174" s="1">
        <v>295</v>
      </c>
      <c r="N174" s="1">
        <v>4</v>
      </c>
      <c r="O174" s="1">
        <v>8809.57</v>
      </c>
      <c r="P174" s="8">
        <f t="shared" si="10"/>
        <v>4.9920381222490914E-2</v>
      </c>
      <c r="Q174" s="10">
        <f t="shared" si="11"/>
        <v>29.86294915254237</v>
      </c>
      <c r="R174" s="12">
        <f t="shared" si="12"/>
        <v>2202.3924999999999</v>
      </c>
      <c r="S174" s="2">
        <f t="shared" si="13"/>
        <v>1.3049751576978219</v>
      </c>
      <c r="T174" s="18" t="str">
        <f t="shared" si="14"/>
        <v>🔴 Low</v>
      </c>
    </row>
    <row r="175" spans="1:20" x14ac:dyDescent="0.3">
      <c r="A175" s="17">
        <v>174</v>
      </c>
      <c r="B175" s="3" t="s">
        <v>93</v>
      </c>
      <c r="C175" s="3" t="s">
        <v>36</v>
      </c>
      <c r="D175" s="3" t="s">
        <v>29</v>
      </c>
      <c r="E175" s="3" t="s">
        <v>42</v>
      </c>
      <c r="F175" s="3" t="s">
        <v>24</v>
      </c>
      <c r="G175" s="3" t="s">
        <v>50</v>
      </c>
      <c r="H175" s="3" t="s">
        <v>37</v>
      </c>
      <c r="I175" s="3" t="s">
        <v>38</v>
      </c>
      <c r="J175" s="6">
        <v>2023</v>
      </c>
      <c r="K175" s="3">
        <v>11052.69</v>
      </c>
      <c r="L175" s="3">
        <v>68182</v>
      </c>
      <c r="M175" s="3">
        <v>2053</v>
      </c>
      <c r="N175" s="3">
        <v>78</v>
      </c>
      <c r="O175" s="3">
        <v>6952.01</v>
      </c>
      <c r="P175" s="9">
        <f t="shared" si="10"/>
        <v>3.0110586371769674</v>
      </c>
      <c r="Q175" s="11">
        <f t="shared" si="11"/>
        <v>3.3862688748173406</v>
      </c>
      <c r="R175" s="13">
        <f t="shared" si="12"/>
        <v>89.12833333333333</v>
      </c>
      <c r="S175" s="4">
        <f t="shared" si="13"/>
        <v>1.5898553080332163</v>
      </c>
      <c r="T175" s="19" t="str">
        <f t="shared" si="14"/>
        <v>🟢 High</v>
      </c>
    </row>
    <row r="176" spans="1:20" x14ac:dyDescent="0.3">
      <c r="A176" s="16">
        <v>175</v>
      </c>
      <c r="B176" s="1" t="s">
        <v>60</v>
      </c>
      <c r="C176" s="1" t="s">
        <v>40</v>
      </c>
      <c r="D176" s="1" t="s">
        <v>13</v>
      </c>
      <c r="E176" s="1" t="s">
        <v>56</v>
      </c>
      <c r="F176" s="1" t="s">
        <v>24</v>
      </c>
      <c r="G176" s="1" t="s">
        <v>25</v>
      </c>
      <c r="H176" s="1" t="s">
        <v>44</v>
      </c>
      <c r="I176" s="1" t="s">
        <v>45</v>
      </c>
      <c r="J176" s="5">
        <v>2024</v>
      </c>
      <c r="K176" s="1">
        <v>7801.99</v>
      </c>
      <c r="L176" s="1">
        <v>406058</v>
      </c>
      <c r="M176" s="1">
        <v>2200</v>
      </c>
      <c r="N176" s="1">
        <v>168</v>
      </c>
      <c r="O176" s="1">
        <v>4944.16</v>
      </c>
      <c r="P176" s="8">
        <f t="shared" si="10"/>
        <v>0.54179452196484246</v>
      </c>
      <c r="Q176" s="10">
        <f t="shared" si="11"/>
        <v>2.2473454545454543</v>
      </c>
      <c r="R176" s="12">
        <f t="shared" si="12"/>
        <v>29.429523809523808</v>
      </c>
      <c r="S176" s="2">
        <f t="shared" si="13"/>
        <v>1.5780213423513803</v>
      </c>
      <c r="T176" s="18" t="str">
        <f t="shared" si="14"/>
        <v>🔴 Low</v>
      </c>
    </row>
    <row r="177" spans="1:20" x14ac:dyDescent="0.3">
      <c r="A177" s="17">
        <v>176</v>
      </c>
      <c r="B177" s="3" t="s">
        <v>69</v>
      </c>
      <c r="C177" s="3" t="s">
        <v>21</v>
      </c>
      <c r="D177" s="3" t="s">
        <v>13</v>
      </c>
      <c r="E177" s="3" t="s">
        <v>42</v>
      </c>
      <c r="F177" s="3" t="s">
        <v>24</v>
      </c>
      <c r="G177" s="3" t="s">
        <v>32</v>
      </c>
      <c r="H177" s="3" t="s">
        <v>33</v>
      </c>
      <c r="I177" s="3" t="s">
        <v>34</v>
      </c>
      <c r="J177" s="6">
        <v>2023</v>
      </c>
      <c r="K177" s="3">
        <v>14693.23</v>
      </c>
      <c r="L177" s="3">
        <v>238507</v>
      </c>
      <c r="M177" s="3">
        <v>2515</v>
      </c>
      <c r="N177" s="3">
        <v>272</v>
      </c>
      <c r="O177" s="3">
        <v>13482.44</v>
      </c>
      <c r="P177" s="9">
        <f t="shared" si="10"/>
        <v>1.0544763885336699</v>
      </c>
      <c r="Q177" s="11">
        <f t="shared" si="11"/>
        <v>5.3608111332007953</v>
      </c>
      <c r="R177" s="13">
        <f t="shared" si="12"/>
        <v>49.567794117647061</v>
      </c>
      <c r="S177" s="4">
        <f t="shared" si="13"/>
        <v>1.0898049611197973</v>
      </c>
      <c r="T177" s="19" t="str">
        <f t="shared" si="14"/>
        <v>🔴 Low</v>
      </c>
    </row>
    <row r="178" spans="1:20" x14ac:dyDescent="0.3">
      <c r="A178" s="16">
        <v>177</v>
      </c>
      <c r="B178" s="1" t="s">
        <v>67</v>
      </c>
      <c r="C178" s="1" t="s">
        <v>40</v>
      </c>
      <c r="D178" s="1" t="s">
        <v>29</v>
      </c>
      <c r="E178" s="1" t="s">
        <v>56</v>
      </c>
      <c r="F178" s="1" t="s">
        <v>31</v>
      </c>
      <c r="G178" s="1" t="s">
        <v>50</v>
      </c>
      <c r="H178" s="1" t="s">
        <v>83</v>
      </c>
      <c r="I178" s="1" t="s">
        <v>38</v>
      </c>
      <c r="J178" s="5">
        <v>2023</v>
      </c>
      <c r="K178" s="1">
        <v>9482.19</v>
      </c>
      <c r="L178" s="1">
        <v>167656</v>
      </c>
      <c r="M178" s="1">
        <v>2365</v>
      </c>
      <c r="N178" s="1">
        <v>75</v>
      </c>
      <c r="O178" s="1">
        <v>6138.72</v>
      </c>
      <c r="P178" s="8">
        <f t="shared" si="10"/>
        <v>1.410626520971513</v>
      </c>
      <c r="Q178" s="10">
        <f t="shared" si="11"/>
        <v>2.5956532769556024</v>
      </c>
      <c r="R178" s="12">
        <f t="shared" si="12"/>
        <v>81.849600000000009</v>
      </c>
      <c r="S178" s="2">
        <f t="shared" si="13"/>
        <v>1.5446526311674096</v>
      </c>
      <c r="T178" s="18" t="str">
        <f t="shared" si="14"/>
        <v>🔴 Low</v>
      </c>
    </row>
    <row r="179" spans="1:20" x14ac:dyDescent="0.3">
      <c r="A179" s="17">
        <v>178</v>
      </c>
      <c r="B179" s="3" t="s">
        <v>90</v>
      </c>
      <c r="C179" s="3" t="s">
        <v>21</v>
      </c>
      <c r="D179" s="3" t="s">
        <v>29</v>
      </c>
      <c r="E179" s="3" t="s">
        <v>42</v>
      </c>
      <c r="F179" s="3" t="s">
        <v>24</v>
      </c>
      <c r="G179" s="3" t="s">
        <v>25</v>
      </c>
      <c r="H179" s="3" t="s">
        <v>58</v>
      </c>
      <c r="I179" s="3" t="s">
        <v>27</v>
      </c>
      <c r="J179" s="6">
        <v>2023</v>
      </c>
      <c r="K179" s="3">
        <v>12081.91</v>
      </c>
      <c r="L179" s="3">
        <v>473127</v>
      </c>
      <c r="M179" s="3">
        <v>8808</v>
      </c>
      <c r="N179" s="3">
        <v>246</v>
      </c>
      <c r="O179" s="3">
        <v>10817.9</v>
      </c>
      <c r="P179" s="9">
        <f t="shared" si="10"/>
        <v>1.8616565953750261</v>
      </c>
      <c r="Q179" s="11">
        <f t="shared" si="11"/>
        <v>1.2281902815622161</v>
      </c>
      <c r="R179" s="13">
        <f t="shared" si="12"/>
        <v>43.975203252032522</v>
      </c>
      <c r="S179" s="4">
        <f t="shared" si="13"/>
        <v>1.1168443043474241</v>
      </c>
      <c r="T179" s="19" t="str">
        <f t="shared" si="14"/>
        <v>🟡 Mid</v>
      </c>
    </row>
    <row r="180" spans="1:20" x14ac:dyDescent="0.3">
      <c r="A180" s="16">
        <v>179</v>
      </c>
      <c r="B180" s="1" t="s">
        <v>93</v>
      </c>
      <c r="C180" s="1" t="s">
        <v>36</v>
      </c>
      <c r="D180" s="1" t="s">
        <v>22</v>
      </c>
      <c r="E180" s="1" t="s">
        <v>56</v>
      </c>
      <c r="F180" s="1" t="s">
        <v>47</v>
      </c>
      <c r="G180" s="1" t="s">
        <v>25</v>
      </c>
      <c r="H180" s="1" t="s">
        <v>81</v>
      </c>
      <c r="I180" s="1" t="s">
        <v>34</v>
      </c>
      <c r="J180" s="5">
        <v>2023</v>
      </c>
      <c r="K180" s="1">
        <v>15210.52</v>
      </c>
      <c r="L180" s="1">
        <v>64185</v>
      </c>
      <c r="M180" s="1">
        <v>2445</v>
      </c>
      <c r="N180" s="1">
        <v>20</v>
      </c>
      <c r="O180" s="1">
        <v>14980.64</v>
      </c>
      <c r="P180" s="8">
        <f t="shared" si="10"/>
        <v>3.809301238607151</v>
      </c>
      <c r="Q180" s="10">
        <f t="shared" si="11"/>
        <v>6.1270511247443764</v>
      </c>
      <c r="R180" s="12">
        <f t="shared" si="12"/>
        <v>749.03199999999993</v>
      </c>
      <c r="S180" s="2">
        <f t="shared" si="13"/>
        <v>1.0153451387924681</v>
      </c>
      <c r="T180" s="18" t="str">
        <f t="shared" si="14"/>
        <v>🟢 High</v>
      </c>
    </row>
    <row r="181" spans="1:20" x14ac:dyDescent="0.3">
      <c r="A181" s="17">
        <v>180</v>
      </c>
      <c r="B181" s="3" t="s">
        <v>78</v>
      </c>
      <c r="C181" s="3" t="s">
        <v>21</v>
      </c>
      <c r="D181" s="3" t="s">
        <v>29</v>
      </c>
      <c r="E181" s="3" t="s">
        <v>61</v>
      </c>
      <c r="F181" s="3" t="s">
        <v>31</v>
      </c>
      <c r="G181" s="3" t="s">
        <v>43</v>
      </c>
      <c r="H181" s="3" t="s">
        <v>83</v>
      </c>
      <c r="I181" s="3" t="s">
        <v>38</v>
      </c>
      <c r="J181" s="6">
        <v>2024</v>
      </c>
      <c r="K181" s="3">
        <v>17587.04</v>
      </c>
      <c r="L181" s="3">
        <v>697282</v>
      </c>
      <c r="M181" s="3">
        <v>13410</v>
      </c>
      <c r="N181" s="3">
        <v>343</v>
      </c>
      <c r="O181" s="3">
        <v>13607.01</v>
      </c>
      <c r="P181" s="9">
        <f t="shared" si="10"/>
        <v>1.9231817256146004</v>
      </c>
      <c r="Q181" s="11">
        <f t="shared" si="11"/>
        <v>1.0146912751677852</v>
      </c>
      <c r="R181" s="13">
        <f t="shared" si="12"/>
        <v>39.670583090379012</v>
      </c>
      <c r="S181" s="4">
        <f t="shared" si="13"/>
        <v>1.2924984989354753</v>
      </c>
      <c r="T181" s="19" t="str">
        <f t="shared" si="14"/>
        <v>🟡 Mid</v>
      </c>
    </row>
    <row r="182" spans="1:20" x14ac:dyDescent="0.3">
      <c r="A182" s="16">
        <v>181</v>
      </c>
      <c r="B182" s="1" t="s">
        <v>60</v>
      </c>
      <c r="C182" s="1" t="s">
        <v>40</v>
      </c>
      <c r="D182" s="1" t="s">
        <v>29</v>
      </c>
      <c r="E182" s="1" t="s">
        <v>61</v>
      </c>
      <c r="F182" s="1" t="s">
        <v>31</v>
      </c>
      <c r="G182" s="1" t="s">
        <v>25</v>
      </c>
      <c r="H182" s="1" t="s">
        <v>44</v>
      </c>
      <c r="I182" s="1" t="s">
        <v>45</v>
      </c>
      <c r="J182" s="5">
        <v>2024</v>
      </c>
      <c r="K182" s="1">
        <v>11339.09</v>
      </c>
      <c r="L182" s="1">
        <v>54161</v>
      </c>
      <c r="M182" s="1">
        <v>1502</v>
      </c>
      <c r="N182" s="1">
        <v>45</v>
      </c>
      <c r="O182" s="1">
        <v>10545.78</v>
      </c>
      <c r="P182" s="8">
        <f t="shared" si="10"/>
        <v>2.7732131976883738</v>
      </c>
      <c r="Q182" s="10">
        <f t="shared" si="11"/>
        <v>7.0211584553928104</v>
      </c>
      <c r="R182" s="12">
        <f t="shared" si="12"/>
        <v>234.35066666666668</v>
      </c>
      <c r="S182" s="2">
        <f t="shared" si="13"/>
        <v>1.0752253508038285</v>
      </c>
      <c r="T182" s="18" t="str">
        <f t="shared" si="14"/>
        <v>🟡 Mid</v>
      </c>
    </row>
    <row r="183" spans="1:20" x14ac:dyDescent="0.3">
      <c r="A183" s="17">
        <v>182</v>
      </c>
      <c r="B183" s="3" t="s">
        <v>82</v>
      </c>
      <c r="C183" s="3" t="s">
        <v>40</v>
      </c>
      <c r="D183" s="3" t="s">
        <v>41</v>
      </c>
      <c r="E183" s="3" t="s">
        <v>30</v>
      </c>
      <c r="F183" s="3" t="s">
        <v>47</v>
      </c>
      <c r="G183" s="3" t="s">
        <v>50</v>
      </c>
      <c r="H183" s="3" t="s">
        <v>26</v>
      </c>
      <c r="I183" s="3" t="s">
        <v>27</v>
      </c>
      <c r="J183" s="6">
        <v>2024</v>
      </c>
      <c r="K183" s="3">
        <v>5198.88</v>
      </c>
      <c r="L183" s="3">
        <v>241290</v>
      </c>
      <c r="M183" s="3">
        <v>3362</v>
      </c>
      <c r="N183" s="3">
        <v>282</v>
      </c>
      <c r="O183" s="3">
        <v>4664.34</v>
      </c>
      <c r="P183" s="9">
        <f t="shared" si="10"/>
        <v>1.3933441087488083</v>
      </c>
      <c r="Q183" s="11">
        <f t="shared" si="11"/>
        <v>1.3873706127305176</v>
      </c>
      <c r="R183" s="13">
        <f t="shared" si="12"/>
        <v>16.540212765957449</v>
      </c>
      <c r="S183" s="4">
        <f t="shared" si="13"/>
        <v>1.1146014227093222</v>
      </c>
      <c r="T183" s="19" t="str">
        <f t="shared" si="14"/>
        <v>🔴 Low</v>
      </c>
    </row>
    <row r="184" spans="1:20" x14ac:dyDescent="0.3">
      <c r="A184" s="16">
        <v>183</v>
      </c>
      <c r="B184" s="1" t="s">
        <v>51</v>
      </c>
      <c r="C184" s="1" t="s">
        <v>40</v>
      </c>
      <c r="D184" s="1" t="s">
        <v>29</v>
      </c>
      <c r="E184" s="1" t="s">
        <v>56</v>
      </c>
      <c r="F184" s="1" t="s">
        <v>47</v>
      </c>
      <c r="G184" s="1" t="s">
        <v>32</v>
      </c>
      <c r="H184" s="1" t="s">
        <v>81</v>
      </c>
      <c r="I184" s="1" t="s">
        <v>34</v>
      </c>
      <c r="J184" s="5">
        <v>2023</v>
      </c>
      <c r="K184" s="1">
        <v>8074.17</v>
      </c>
      <c r="L184" s="1">
        <v>272382</v>
      </c>
      <c r="M184" s="1">
        <v>4925</v>
      </c>
      <c r="N184" s="1">
        <v>185</v>
      </c>
      <c r="O184" s="1">
        <v>7717.26</v>
      </c>
      <c r="P184" s="8">
        <f t="shared" si="10"/>
        <v>1.8081224163123848</v>
      </c>
      <c r="Q184" s="10">
        <f t="shared" si="11"/>
        <v>1.5669563451776649</v>
      </c>
      <c r="R184" s="12">
        <f t="shared" si="12"/>
        <v>41.714918918918919</v>
      </c>
      <c r="S184" s="2">
        <f t="shared" si="13"/>
        <v>1.0462482798298878</v>
      </c>
      <c r="T184" s="18" t="str">
        <f t="shared" si="14"/>
        <v>🟡 Mid</v>
      </c>
    </row>
    <row r="185" spans="1:20" x14ac:dyDescent="0.3">
      <c r="A185" s="17">
        <v>184</v>
      </c>
      <c r="B185" s="3" t="s">
        <v>93</v>
      </c>
      <c r="C185" s="3" t="s">
        <v>36</v>
      </c>
      <c r="D185" s="3" t="s">
        <v>22</v>
      </c>
      <c r="E185" s="3" t="s">
        <v>23</v>
      </c>
      <c r="F185" s="3" t="s">
        <v>47</v>
      </c>
      <c r="G185" s="3" t="s">
        <v>32</v>
      </c>
      <c r="H185" s="3" t="s">
        <v>79</v>
      </c>
      <c r="I185" s="3" t="s">
        <v>45</v>
      </c>
      <c r="J185" s="6">
        <v>2023</v>
      </c>
      <c r="K185" s="3">
        <v>17535.599999999999</v>
      </c>
      <c r="L185" s="3">
        <v>202303</v>
      </c>
      <c r="M185" s="3">
        <v>7061</v>
      </c>
      <c r="N185" s="3">
        <v>120</v>
      </c>
      <c r="O185" s="3">
        <v>14848.89</v>
      </c>
      <c r="P185" s="9">
        <f t="shared" si="10"/>
        <v>3.4903090908192165</v>
      </c>
      <c r="Q185" s="11">
        <f t="shared" si="11"/>
        <v>2.1029443421611669</v>
      </c>
      <c r="R185" s="13">
        <f t="shared" si="12"/>
        <v>123.74074999999999</v>
      </c>
      <c r="S185" s="4">
        <f t="shared" si="13"/>
        <v>1.1809367568888987</v>
      </c>
      <c r="T185" s="19" t="str">
        <f t="shared" si="14"/>
        <v>🟢 High</v>
      </c>
    </row>
    <row r="186" spans="1:20" x14ac:dyDescent="0.3">
      <c r="A186" s="16">
        <v>185</v>
      </c>
      <c r="B186" s="1" t="s">
        <v>64</v>
      </c>
      <c r="C186" s="1" t="s">
        <v>21</v>
      </c>
      <c r="D186" s="1" t="s">
        <v>41</v>
      </c>
      <c r="E186" s="1" t="s">
        <v>30</v>
      </c>
      <c r="F186" s="1" t="s">
        <v>47</v>
      </c>
      <c r="G186" s="1" t="s">
        <v>43</v>
      </c>
      <c r="H186" s="1" t="s">
        <v>68</v>
      </c>
      <c r="I186" s="1" t="s">
        <v>27</v>
      </c>
      <c r="J186" s="5">
        <v>2023</v>
      </c>
      <c r="K186" s="1">
        <v>18774.62</v>
      </c>
      <c r="L186" s="1">
        <v>782493</v>
      </c>
      <c r="M186" s="1">
        <v>16886</v>
      </c>
      <c r="N186" s="1">
        <v>1660</v>
      </c>
      <c r="O186" s="1">
        <v>13177.7</v>
      </c>
      <c r="P186" s="8">
        <f t="shared" si="10"/>
        <v>2.1579745761303935</v>
      </c>
      <c r="Q186" s="10">
        <f t="shared" si="11"/>
        <v>0.78039204074381152</v>
      </c>
      <c r="R186" s="12">
        <f t="shared" si="12"/>
        <v>7.9383734939759041</v>
      </c>
      <c r="S186" s="2">
        <f t="shared" si="13"/>
        <v>1.4247266214893342</v>
      </c>
      <c r="T186" s="18" t="str">
        <f t="shared" si="14"/>
        <v>🟡 Mid</v>
      </c>
    </row>
    <row r="187" spans="1:20" x14ac:dyDescent="0.3">
      <c r="A187" s="17">
        <v>186</v>
      </c>
      <c r="B187" s="3" t="s">
        <v>63</v>
      </c>
      <c r="C187" s="3" t="s">
        <v>21</v>
      </c>
      <c r="D187" s="3" t="s">
        <v>41</v>
      </c>
      <c r="E187" s="3" t="s">
        <v>30</v>
      </c>
      <c r="F187" s="3" t="s">
        <v>31</v>
      </c>
      <c r="G187" s="3" t="s">
        <v>43</v>
      </c>
      <c r="H187" s="3" t="s">
        <v>52</v>
      </c>
      <c r="I187" s="3" t="s">
        <v>38</v>
      </c>
      <c r="J187" s="6">
        <v>2024</v>
      </c>
      <c r="K187" s="3">
        <v>9591.8799999999992</v>
      </c>
      <c r="L187" s="3">
        <v>685233</v>
      </c>
      <c r="M187" s="3">
        <v>13866</v>
      </c>
      <c r="N187" s="3">
        <v>1230</v>
      </c>
      <c r="O187" s="3">
        <v>6808.85</v>
      </c>
      <c r="P187" s="9">
        <f t="shared" si="10"/>
        <v>2.0235452758404806</v>
      </c>
      <c r="Q187" s="11">
        <f t="shared" si="11"/>
        <v>0.49104644454060292</v>
      </c>
      <c r="R187" s="13">
        <f t="shared" si="12"/>
        <v>5.5356504065040655</v>
      </c>
      <c r="S187" s="4">
        <f t="shared" si="13"/>
        <v>1.4087371582572679</v>
      </c>
      <c r="T187" s="19" t="str">
        <f t="shared" si="14"/>
        <v>🟡 Mid</v>
      </c>
    </row>
    <row r="188" spans="1:20" x14ac:dyDescent="0.3">
      <c r="A188" s="16">
        <v>187</v>
      </c>
      <c r="B188" s="1" t="s">
        <v>74</v>
      </c>
      <c r="C188" s="1" t="s">
        <v>21</v>
      </c>
      <c r="D188" s="1" t="s">
        <v>41</v>
      </c>
      <c r="E188" s="1" t="s">
        <v>42</v>
      </c>
      <c r="F188" s="1" t="s">
        <v>31</v>
      </c>
      <c r="G188" s="1" t="s">
        <v>50</v>
      </c>
      <c r="H188" s="1" t="s">
        <v>37</v>
      </c>
      <c r="I188" s="1" t="s">
        <v>38</v>
      </c>
      <c r="J188" s="5">
        <v>2023</v>
      </c>
      <c r="K188" s="1">
        <v>7728.75</v>
      </c>
      <c r="L188" s="1">
        <v>439037</v>
      </c>
      <c r="M188" s="1">
        <v>7279</v>
      </c>
      <c r="N188" s="1">
        <v>868</v>
      </c>
      <c r="O188" s="1">
        <v>4689.8999999999996</v>
      </c>
      <c r="P188" s="8">
        <f t="shared" si="10"/>
        <v>1.6579468245273177</v>
      </c>
      <c r="Q188" s="10">
        <f t="shared" si="11"/>
        <v>0.6443055364747905</v>
      </c>
      <c r="R188" s="12">
        <f t="shared" si="12"/>
        <v>5.4031105990783406</v>
      </c>
      <c r="S188" s="2">
        <f t="shared" si="13"/>
        <v>1.6479562464018425</v>
      </c>
      <c r="T188" s="18" t="str">
        <f t="shared" si="14"/>
        <v>🟡 Mid</v>
      </c>
    </row>
    <row r="189" spans="1:20" x14ac:dyDescent="0.3">
      <c r="A189" s="17">
        <v>188</v>
      </c>
      <c r="B189" s="3" t="s">
        <v>76</v>
      </c>
      <c r="C189" s="3" t="s">
        <v>21</v>
      </c>
      <c r="D189" s="3" t="s">
        <v>13</v>
      </c>
      <c r="E189" s="3" t="s">
        <v>30</v>
      </c>
      <c r="F189" s="3" t="s">
        <v>24</v>
      </c>
      <c r="G189" s="3" t="s">
        <v>43</v>
      </c>
      <c r="H189" s="3" t="s">
        <v>83</v>
      </c>
      <c r="I189" s="3" t="s">
        <v>38</v>
      </c>
      <c r="J189" s="6">
        <v>2024</v>
      </c>
      <c r="K189" s="3">
        <v>11610.9</v>
      </c>
      <c r="L189" s="3">
        <v>262666</v>
      </c>
      <c r="M189" s="3">
        <v>2582</v>
      </c>
      <c r="N189" s="3">
        <v>219</v>
      </c>
      <c r="O189" s="3">
        <v>10158.790000000001</v>
      </c>
      <c r="P189" s="9">
        <f t="shared" si="10"/>
        <v>0.98299741877517444</v>
      </c>
      <c r="Q189" s="11">
        <f t="shared" si="11"/>
        <v>3.9344655305964373</v>
      </c>
      <c r="R189" s="13">
        <f t="shared" si="12"/>
        <v>46.387168949771691</v>
      </c>
      <c r="S189" s="4">
        <f t="shared" si="13"/>
        <v>1.142941236111781</v>
      </c>
      <c r="T189" s="19" t="str">
        <f t="shared" si="14"/>
        <v>🔴 Low</v>
      </c>
    </row>
    <row r="190" spans="1:20" x14ac:dyDescent="0.3">
      <c r="A190" s="16">
        <v>189</v>
      </c>
      <c r="B190" s="1" t="s">
        <v>95</v>
      </c>
      <c r="C190" s="1" t="s">
        <v>21</v>
      </c>
      <c r="D190" s="1" t="s">
        <v>13</v>
      </c>
      <c r="E190" s="1" t="s">
        <v>56</v>
      </c>
      <c r="F190" s="1" t="s">
        <v>31</v>
      </c>
      <c r="G190" s="1" t="s">
        <v>50</v>
      </c>
      <c r="H190" s="1" t="s">
        <v>48</v>
      </c>
      <c r="I190" s="1" t="s">
        <v>34</v>
      </c>
      <c r="J190" s="5">
        <v>2023</v>
      </c>
      <c r="K190" s="1">
        <v>14789.06</v>
      </c>
      <c r="L190" s="1">
        <v>374283</v>
      </c>
      <c r="M190" s="1">
        <v>4071</v>
      </c>
      <c r="N190" s="1">
        <v>342</v>
      </c>
      <c r="O190" s="1">
        <v>14568.67</v>
      </c>
      <c r="P190" s="8">
        <f t="shared" si="10"/>
        <v>1.0876796434783307</v>
      </c>
      <c r="Q190" s="10">
        <f t="shared" si="11"/>
        <v>3.5786465241955292</v>
      </c>
      <c r="R190" s="12">
        <f t="shared" si="12"/>
        <v>42.598450292397658</v>
      </c>
      <c r="S190" s="2">
        <f t="shared" si="13"/>
        <v>1.0151276677967171</v>
      </c>
      <c r="T190" s="18" t="str">
        <f t="shared" si="14"/>
        <v>🔴 Low</v>
      </c>
    </row>
    <row r="191" spans="1:20" x14ac:dyDescent="0.3">
      <c r="A191" s="17">
        <v>190</v>
      </c>
      <c r="B191" s="3" t="s">
        <v>62</v>
      </c>
      <c r="C191" s="3" t="s">
        <v>21</v>
      </c>
      <c r="D191" s="3" t="s">
        <v>29</v>
      </c>
      <c r="E191" s="3" t="s">
        <v>42</v>
      </c>
      <c r="F191" s="3" t="s">
        <v>24</v>
      </c>
      <c r="G191" s="3" t="s">
        <v>57</v>
      </c>
      <c r="H191" s="3" t="s">
        <v>68</v>
      </c>
      <c r="I191" s="3" t="s">
        <v>27</v>
      </c>
      <c r="J191" s="6">
        <v>2024</v>
      </c>
      <c r="K191" s="3">
        <v>3181.08</v>
      </c>
      <c r="L191" s="3">
        <v>666338</v>
      </c>
      <c r="M191" s="3">
        <v>9313</v>
      </c>
      <c r="N191" s="3">
        <v>157</v>
      </c>
      <c r="O191" s="3">
        <v>2853.46</v>
      </c>
      <c r="P191" s="9">
        <f t="shared" si="10"/>
        <v>1.3976390360447701</v>
      </c>
      <c r="Q191" s="11">
        <f t="shared" si="11"/>
        <v>0.30639536132288198</v>
      </c>
      <c r="R191" s="13">
        <f t="shared" si="12"/>
        <v>18.174904458598725</v>
      </c>
      <c r="S191" s="4">
        <f t="shared" si="13"/>
        <v>1.1148149965305278</v>
      </c>
      <c r="T191" s="19" t="str">
        <f t="shared" si="14"/>
        <v>🔴 Low</v>
      </c>
    </row>
    <row r="192" spans="1:20" x14ac:dyDescent="0.3">
      <c r="A192" s="16">
        <v>191</v>
      </c>
      <c r="B192" s="1" t="s">
        <v>97</v>
      </c>
      <c r="C192" s="1" t="s">
        <v>36</v>
      </c>
      <c r="D192" s="1" t="s">
        <v>29</v>
      </c>
      <c r="E192" s="1" t="s">
        <v>56</v>
      </c>
      <c r="F192" s="1" t="s">
        <v>47</v>
      </c>
      <c r="G192" s="1" t="s">
        <v>57</v>
      </c>
      <c r="H192" s="1" t="s">
        <v>79</v>
      </c>
      <c r="I192" s="1" t="s">
        <v>45</v>
      </c>
      <c r="J192" s="5">
        <v>2024</v>
      </c>
      <c r="K192" s="1">
        <v>13356.04</v>
      </c>
      <c r="L192" s="1">
        <v>21495</v>
      </c>
      <c r="M192" s="1">
        <v>737</v>
      </c>
      <c r="N192" s="1">
        <v>7</v>
      </c>
      <c r="O192" s="1">
        <v>10983.41</v>
      </c>
      <c r="P192" s="8">
        <f t="shared" si="10"/>
        <v>3.4287043498488017</v>
      </c>
      <c r="Q192" s="10">
        <f t="shared" si="11"/>
        <v>14.902862957937584</v>
      </c>
      <c r="R192" s="12">
        <f t="shared" si="12"/>
        <v>1569.0585714285714</v>
      </c>
      <c r="S192" s="2">
        <f t="shared" si="13"/>
        <v>1.2160194329447778</v>
      </c>
      <c r="T192" s="18" t="str">
        <f t="shared" si="14"/>
        <v>🟢 High</v>
      </c>
    </row>
    <row r="193" spans="1:20" x14ac:dyDescent="0.3">
      <c r="A193" s="17">
        <v>192</v>
      </c>
      <c r="B193" s="3" t="s">
        <v>101</v>
      </c>
      <c r="C193" s="3" t="s">
        <v>40</v>
      </c>
      <c r="D193" s="3" t="s">
        <v>22</v>
      </c>
      <c r="E193" s="3" t="s">
        <v>61</v>
      </c>
      <c r="F193" s="3" t="s">
        <v>31</v>
      </c>
      <c r="G193" s="3" t="s">
        <v>50</v>
      </c>
      <c r="H193" s="3" t="s">
        <v>26</v>
      </c>
      <c r="I193" s="3" t="s">
        <v>27</v>
      </c>
      <c r="J193" s="6">
        <v>2023</v>
      </c>
      <c r="K193" s="3">
        <v>18401.95</v>
      </c>
      <c r="L193" s="3">
        <v>554857</v>
      </c>
      <c r="M193" s="3">
        <v>9023</v>
      </c>
      <c r="N193" s="3">
        <v>65</v>
      </c>
      <c r="O193" s="3">
        <v>12524.58</v>
      </c>
      <c r="P193" s="9">
        <f t="shared" si="10"/>
        <v>1.6261847647231629</v>
      </c>
      <c r="Q193" s="11">
        <f t="shared" si="11"/>
        <v>1.3880727030920981</v>
      </c>
      <c r="R193" s="13">
        <f t="shared" si="12"/>
        <v>192.68584615384614</v>
      </c>
      <c r="S193" s="4">
        <f t="shared" si="13"/>
        <v>1.469266833698216</v>
      </c>
      <c r="T193" s="19" t="str">
        <f t="shared" si="14"/>
        <v>🟡 Mid</v>
      </c>
    </row>
    <row r="194" spans="1:20" x14ac:dyDescent="0.3">
      <c r="A194" s="16">
        <v>193</v>
      </c>
      <c r="B194" s="1" t="s">
        <v>59</v>
      </c>
      <c r="C194" s="1" t="s">
        <v>21</v>
      </c>
      <c r="D194" s="1" t="s">
        <v>13</v>
      </c>
      <c r="E194" s="1" t="s">
        <v>23</v>
      </c>
      <c r="F194" s="1" t="s">
        <v>47</v>
      </c>
      <c r="G194" s="1" t="s">
        <v>57</v>
      </c>
      <c r="H194" s="1" t="s">
        <v>37</v>
      </c>
      <c r="I194" s="1" t="s">
        <v>38</v>
      </c>
      <c r="J194" s="5">
        <v>2024</v>
      </c>
      <c r="K194" s="1">
        <v>9450.4599999999991</v>
      </c>
      <c r="L194" s="1">
        <v>260021</v>
      </c>
      <c r="M194" s="1">
        <v>2748</v>
      </c>
      <c r="N194" s="1">
        <v>268</v>
      </c>
      <c r="O194" s="1">
        <v>9035.6200000000008</v>
      </c>
      <c r="P194" s="8">
        <f t="shared" ref="P194:P257" si="15">IFERROR(M194/L194*100,0)</f>
        <v>1.0568377169536307</v>
      </c>
      <c r="Q194" s="10">
        <f t="shared" ref="Q194:Q257" si="16">IFERROR(O194/M194,0)</f>
        <v>3.2880713245997093</v>
      </c>
      <c r="R194" s="12">
        <f t="shared" ref="R194:R257" si="17">IFERROR(O194/N194,"-")</f>
        <v>33.715000000000003</v>
      </c>
      <c r="S194" s="2">
        <f t="shared" ref="S194:S257" si="18">IFERROR(K194/O194,0)</f>
        <v>1.0459116253228886</v>
      </c>
      <c r="T194" s="18" t="str">
        <f t="shared" ref="T194:T257" si="19">IF(P194&gt;=3,"🟢 High",IF(P194&gt;=1.5,"🟡 Mid","🔴 Low"))</f>
        <v>🔴 Low</v>
      </c>
    </row>
    <row r="195" spans="1:20" x14ac:dyDescent="0.3">
      <c r="A195" s="17">
        <v>194</v>
      </c>
      <c r="B195" s="3" t="s">
        <v>62</v>
      </c>
      <c r="C195" s="3" t="s">
        <v>21</v>
      </c>
      <c r="D195" s="3" t="s">
        <v>22</v>
      </c>
      <c r="E195" s="3" t="s">
        <v>56</v>
      </c>
      <c r="F195" s="3" t="s">
        <v>47</v>
      </c>
      <c r="G195" s="3" t="s">
        <v>50</v>
      </c>
      <c r="H195" s="3" t="s">
        <v>81</v>
      </c>
      <c r="I195" s="3" t="s">
        <v>34</v>
      </c>
      <c r="J195" s="6">
        <v>2024</v>
      </c>
      <c r="K195" s="3">
        <v>1594.24</v>
      </c>
      <c r="L195" s="3">
        <v>14909</v>
      </c>
      <c r="M195" s="3">
        <v>101</v>
      </c>
      <c r="N195" s="3">
        <v>1</v>
      </c>
      <c r="O195" s="3">
        <v>1011.91</v>
      </c>
      <c r="P195" s="9">
        <f t="shared" si="15"/>
        <v>0.67744315514118991</v>
      </c>
      <c r="Q195" s="11">
        <f t="shared" si="16"/>
        <v>10.018910891089108</v>
      </c>
      <c r="R195" s="13">
        <f t="shared" si="17"/>
        <v>1011.91</v>
      </c>
      <c r="S195" s="4">
        <f t="shared" si="18"/>
        <v>1.5754760798885277</v>
      </c>
      <c r="T195" s="19" t="str">
        <f t="shared" si="19"/>
        <v>🔴 Low</v>
      </c>
    </row>
    <row r="196" spans="1:20" x14ac:dyDescent="0.3">
      <c r="A196" s="16">
        <v>195</v>
      </c>
      <c r="B196" s="1" t="s">
        <v>100</v>
      </c>
      <c r="C196" s="1" t="s">
        <v>40</v>
      </c>
      <c r="D196" s="1" t="s">
        <v>29</v>
      </c>
      <c r="E196" s="1" t="s">
        <v>42</v>
      </c>
      <c r="F196" s="1" t="s">
        <v>31</v>
      </c>
      <c r="G196" s="1" t="s">
        <v>57</v>
      </c>
      <c r="H196" s="1" t="s">
        <v>83</v>
      </c>
      <c r="I196" s="1" t="s">
        <v>38</v>
      </c>
      <c r="J196" s="5">
        <v>2023</v>
      </c>
      <c r="K196" s="1">
        <v>18074.82</v>
      </c>
      <c r="L196" s="1">
        <v>730916</v>
      </c>
      <c r="M196" s="1">
        <v>14852</v>
      </c>
      <c r="N196" s="1">
        <v>169</v>
      </c>
      <c r="O196" s="1">
        <v>11409.3</v>
      </c>
      <c r="P196" s="8">
        <f t="shared" si="15"/>
        <v>2.0319708420666669</v>
      </c>
      <c r="Q196" s="10">
        <f t="shared" si="16"/>
        <v>0.76819956908160514</v>
      </c>
      <c r="R196" s="12">
        <f t="shared" si="17"/>
        <v>67.510650887573959</v>
      </c>
      <c r="S196" s="2">
        <f t="shared" si="18"/>
        <v>1.5842181378349243</v>
      </c>
      <c r="T196" s="18" t="str">
        <f t="shared" si="19"/>
        <v>🟡 Mid</v>
      </c>
    </row>
    <row r="197" spans="1:20" x14ac:dyDescent="0.3">
      <c r="A197" s="17">
        <v>196</v>
      </c>
      <c r="B197" s="3" t="s">
        <v>51</v>
      </c>
      <c r="C197" s="3" t="s">
        <v>40</v>
      </c>
      <c r="D197" s="3" t="s">
        <v>46</v>
      </c>
      <c r="E197" s="3" t="s">
        <v>23</v>
      </c>
      <c r="F197" s="3" t="s">
        <v>24</v>
      </c>
      <c r="G197" s="3" t="s">
        <v>25</v>
      </c>
      <c r="H197" s="3" t="s">
        <v>79</v>
      </c>
      <c r="I197" s="3" t="s">
        <v>45</v>
      </c>
      <c r="J197" s="6">
        <v>2023</v>
      </c>
      <c r="K197" s="3">
        <v>15168.96</v>
      </c>
      <c r="L197" s="3">
        <v>752332</v>
      </c>
      <c r="M197" s="3">
        <v>9263</v>
      </c>
      <c r="N197" s="3">
        <v>826</v>
      </c>
      <c r="O197" s="3">
        <v>15019.2</v>
      </c>
      <c r="P197" s="9">
        <f t="shared" si="15"/>
        <v>1.2312383362664354</v>
      </c>
      <c r="Q197" s="11">
        <f t="shared" si="16"/>
        <v>1.6214185469070497</v>
      </c>
      <c r="R197" s="13">
        <f t="shared" si="17"/>
        <v>18.183050847457629</v>
      </c>
      <c r="S197" s="4">
        <f t="shared" si="18"/>
        <v>1.0099712368168743</v>
      </c>
      <c r="T197" s="19" t="str">
        <f t="shared" si="19"/>
        <v>🔴 Low</v>
      </c>
    </row>
    <row r="198" spans="1:20" x14ac:dyDescent="0.3">
      <c r="A198" s="16">
        <v>197</v>
      </c>
      <c r="B198" s="1" t="s">
        <v>92</v>
      </c>
      <c r="C198" s="1" t="s">
        <v>40</v>
      </c>
      <c r="D198" s="1" t="s">
        <v>29</v>
      </c>
      <c r="E198" s="1" t="s">
        <v>30</v>
      </c>
      <c r="F198" s="1" t="s">
        <v>31</v>
      </c>
      <c r="G198" s="1" t="s">
        <v>50</v>
      </c>
      <c r="H198" s="1" t="s">
        <v>44</v>
      </c>
      <c r="I198" s="1" t="s">
        <v>45</v>
      </c>
      <c r="J198" s="5">
        <v>2024</v>
      </c>
      <c r="K198" s="1">
        <v>7985</v>
      </c>
      <c r="L198" s="1">
        <v>780679</v>
      </c>
      <c r="M198" s="1">
        <v>19927</v>
      </c>
      <c r="N198" s="1">
        <v>632</v>
      </c>
      <c r="O198" s="1">
        <v>6470.51</v>
      </c>
      <c r="P198" s="8">
        <f t="shared" si="15"/>
        <v>2.5525215869774902</v>
      </c>
      <c r="Q198" s="10">
        <f t="shared" si="16"/>
        <v>0.32471069403322128</v>
      </c>
      <c r="R198" s="12">
        <f t="shared" si="17"/>
        <v>10.238148734177216</v>
      </c>
      <c r="S198" s="2">
        <f t="shared" si="18"/>
        <v>1.2340603754572668</v>
      </c>
      <c r="T198" s="18" t="str">
        <f t="shared" si="19"/>
        <v>🟡 Mid</v>
      </c>
    </row>
    <row r="199" spans="1:20" x14ac:dyDescent="0.3">
      <c r="A199" s="17">
        <v>198</v>
      </c>
      <c r="B199" s="3" t="s">
        <v>60</v>
      </c>
      <c r="C199" s="3" t="s">
        <v>40</v>
      </c>
      <c r="D199" s="3" t="s">
        <v>22</v>
      </c>
      <c r="E199" s="3" t="s">
        <v>56</v>
      </c>
      <c r="F199" s="3" t="s">
        <v>24</v>
      </c>
      <c r="G199" s="3" t="s">
        <v>57</v>
      </c>
      <c r="H199" s="3" t="s">
        <v>37</v>
      </c>
      <c r="I199" s="3" t="s">
        <v>38</v>
      </c>
      <c r="J199" s="6">
        <v>2024</v>
      </c>
      <c r="K199" s="3">
        <v>19393.95</v>
      </c>
      <c r="L199" s="3">
        <v>347230</v>
      </c>
      <c r="M199" s="3">
        <v>9551</v>
      </c>
      <c r="N199" s="3">
        <v>51</v>
      </c>
      <c r="O199" s="3">
        <v>13862.74</v>
      </c>
      <c r="P199" s="9">
        <f t="shared" si="15"/>
        <v>2.7506263859689541</v>
      </c>
      <c r="Q199" s="11">
        <f t="shared" si="16"/>
        <v>1.451443827871427</v>
      </c>
      <c r="R199" s="13">
        <f t="shared" si="17"/>
        <v>271.81843137254901</v>
      </c>
      <c r="S199" s="4">
        <f t="shared" si="18"/>
        <v>1.3989983221210238</v>
      </c>
      <c r="T199" s="19" t="str">
        <f t="shared" si="19"/>
        <v>🟡 Mid</v>
      </c>
    </row>
    <row r="200" spans="1:20" x14ac:dyDescent="0.3">
      <c r="A200" s="16">
        <v>199</v>
      </c>
      <c r="B200" s="1" t="s">
        <v>67</v>
      </c>
      <c r="C200" s="1" t="s">
        <v>40</v>
      </c>
      <c r="D200" s="1" t="s">
        <v>46</v>
      </c>
      <c r="E200" s="1" t="s">
        <v>23</v>
      </c>
      <c r="F200" s="1" t="s">
        <v>31</v>
      </c>
      <c r="G200" s="1" t="s">
        <v>50</v>
      </c>
      <c r="H200" s="1" t="s">
        <v>33</v>
      </c>
      <c r="I200" s="1" t="s">
        <v>34</v>
      </c>
      <c r="J200" s="5">
        <v>2023</v>
      </c>
      <c r="K200" s="1">
        <v>13754.05</v>
      </c>
      <c r="L200" s="1">
        <v>697764</v>
      </c>
      <c r="M200" s="1">
        <v>6788</v>
      </c>
      <c r="N200" s="1">
        <v>391</v>
      </c>
      <c r="O200" s="1">
        <v>9676.1</v>
      </c>
      <c r="P200" s="8">
        <f t="shared" si="15"/>
        <v>0.97282175635315082</v>
      </c>
      <c r="Q200" s="10">
        <f t="shared" si="16"/>
        <v>1.4254714201532117</v>
      </c>
      <c r="R200" s="12">
        <f t="shared" si="17"/>
        <v>24.747058823529414</v>
      </c>
      <c r="S200" s="2">
        <f t="shared" si="18"/>
        <v>1.4214456237533717</v>
      </c>
      <c r="T200" s="18" t="str">
        <f t="shared" si="19"/>
        <v>🔴 Low</v>
      </c>
    </row>
    <row r="201" spans="1:20" x14ac:dyDescent="0.3">
      <c r="A201" s="17">
        <v>200</v>
      </c>
      <c r="B201" s="3" t="s">
        <v>70</v>
      </c>
      <c r="C201" s="3" t="s">
        <v>36</v>
      </c>
      <c r="D201" s="3" t="s">
        <v>13</v>
      </c>
      <c r="E201" s="3" t="s">
        <v>30</v>
      </c>
      <c r="F201" s="3" t="s">
        <v>47</v>
      </c>
      <c r="G201" s="3" t="s">
        <v>25</v>
      </c>
      <c r="H201" s="3" t="s">
        <v>54</v>
      </c>
      <c r="I201" s="3" t="s">
        <v>45</v>
      </c>
      <c r="J201" s="6">
        <v>2024</v>
      </c>
      <c r="K201" s="3">
        <v>6675.23</v>
      </c>
      <c r="L201" s="3">
        <v>116726</v>
      </c>
      <c r="M201" s="3">
        <v>3955</v>
      </c>
      <c r="N201" s="3">
        <v>223</v>
      </c>
      <c r="O201" s="3">
        <v>6648.82</v>
      </c>
      <c r="P201" s="9">
        <f t="shared" si="15"/>
        <v>3.3882768192176553</v>
      </c>
      <c r="Q201" s="11">
        <f t="shared" si="16"/>
        <v>1.6811175726927938</v>
      </c>
      <c r="R201" s="13">
        <f t="shared" si="17"/>
        <v>29.815336322869953</v>
      </c>
      <c r="S201" s="4">
        <f t="shared" si="18"/>
        <v>1.0039721334011147</v>
      </c>
      <c r="T201" s="19" t="str">
        <f t="shared" si="19"/>
        <v>🟢 High</v>
      </c>
    </row>
    <row r="202" spans="1:20" x14ac:dyDescent="0.3">
      <c r="A202" s="16">
        <v>201</v>
      </c>
      <c r="B202" s="1" t="s">
        <v>96</v>
      </c>
      <c r="C202" s="1" t="s">
        <v>40</v>
      </c>
      <c r="D202" s="1" t="s">
        <v>13</v>
      </c>
      <c r="E202" s="1" t="s">
        <v>42</v>
      </c>
      <c r="F202" s="1" t="s">
        <v>24</v>
      </c>
      <c r="G202" s="1" t="s">
        <v>57</v>
      </c>
      <c r="H202" s="1" t="s">
        <v>26</v>
      </c>
      <c r="I202" s="1" t="s">
        <v>27</v>
      </c>
      <c r="J202" s="5">
        <v>2024</v>
      </c>
      <c r="K202" s="1">
        <v>9252.4500000000007</v>
      </c>
      <c r="L202" s="1">
        <v>586687</v>
      </c>
      <c r="M202" s="1">
        <v>8021</v>
      </c>
      <c r="N202" s="1">
        <v>451</v>
      </c>
      <c r="O202" s="1">
        <v>7705.18</v>
      </c>
      <c r="P202" s="8">
        <f t="shared" si="15"/>
        <v>1.3671685242727383</v>
      </c>
      <c r="Q202" s="10">
        <f t="shared" si="16"/>
        <v>0.96062585712504678</v>
      </c>
      <c r="R202" s="12">
        <f t="shared" si="17"/>
        <v>17.084656319290467</v>
      </c>
      <c r="S202" s="2">
        <f t="shared" si="18"/>
        <v>1.2008090661087736</v>
      </c>
      <c r="T202" s="18" t="str">
        <f t="shared" si="19"/>
        <v>🔴 Low</v>
      </c>
    </row>
    <row r="203" spans="1:20" x14ac:dyDescent="0.3">
      <c r="A203" s="17">
        <v>202</v>
      </c>
      <c r="B203" s="3" t="s">
        <v>95</v>
      </c>
      <c r="C203" s="3" t="s">
        <v>21</v>
      </c>
      <c r="D203" s="3" t="s">
        <v>41</v>
      </c>
      <c r="E203" s="3" t="s">
        <v>42</v>
      </c>
      <c r="F203" s="3" t="s">
        <v>47</v>
      </c>
      <c r="G203" s="3" t="s">
        <v>50</v>
      </c>
      <c r="H203" s="3" t="s">
        <v>33</v>
      </c>
      <c r="I203" s="3" t="s">
        <v>34</v>
      </c>
      <c r="J203" s="6">
        <v>2023</v>
      </c>
      <c r="K203" s="3">
        <v>14634.45</v>
      </c>
      <c r="L203" s="3">
        <v>591716</v>
      </c>
      <c r="M203" s="3">
        <v>4034</v>
      </c>
      <c r="N203" s="3">
        <v>534</v>
      </c>
      <c r="O203" s="3">
        <v>14792.98</v>
      </c>
      <c r="P203" s="9">
        <f t="shared" si="15"/>
        <v>0.68174597273016113</v>
      </c>
      <c r="Q203" s="11">
        <f t="shared" si="16"/>
        <v>3.6670748636588995</v>
      </c>
      <c r="R203" s="13">
        <f t="shared" si="17"/>
        <v>27.702209737827715</v>
      </c>
      <c r="S203" s="4">
        <f t="shared" si="18"/>
        <v>0.98928343038387134</v>
      </c>
      <c r="T203" s="19" t="str">
        <f t="shared" si="19"/>
        <v>🔴 Low</v>
      </c>
    </row>
    <row r="204" spans="1:20" x14ac:dyDescent="0.3">
      <c r="A204" s="16">
        <v>203</v>
      </c>
      <c r="B204" s="1" t="s">
        <v>49</v>
      </c>
      <c r="C204" s="1" t="s">
        <v>21</v>
      </c>
      <c r="D204" s="1" t="s">
        <v>41</v>
      </c>
      <c r="E204" s="1" t="s">
        <v>30</v>
      </c>
      <c r="F204" s="1" t="s">
        <v>24</v>
      </c>
      <c r="G204" s="1" t="s">
        <v>43</v>
      </c>
      <c r="H204" s="1" t="s">
        <v>52</v>
      </c>
      <c r="I204" s="1" t="s">
        <v>38</v>
      </c>
      <c r="J204" s="5">
        <v>2024</v>
      </c>
      <c r="K204" s="1">
        <v>10115.92</v>
      </c>
      <c r="L204" s="1">
        <v>71340</v>
      </c>
      <c r="M204" s="1">
        <v>641</v>
      </c>
      <c r="N204" s="1">
        <v>53</v>
      </c>
      <c r="O204" s="1">
        <v>9394.86</v>
      </c>
      <c r="P204" s="8">
        <f t="shared" si="15"/>
        <v>0.89851415755536868</v>
      </c>
      <c r="Q204" s="10">
        <f t="shared" si="16"/>
        <v>14.656567862714509</v>
      </c>
      <c r="R204" s="12">
        <f t="shared" si="17"/>
        <v>177.26150943396229</v>
      </c>
      <c r="S204" s="2">
        <f t="shared" si="18"/>
        <v>1.0767504784531114</v>
      </c>
      <c r="T204" s="18" t="str">
        <f t="shared" si="19"/>
        <v>🔴 Low</v>
      </c>
    </row>
    <row r="205" spans="1:20" x14ac:dyDescent="0.3">
      <c r="A205" s="17">
        <v>204</v>
      </c>
      <c r="B205" s="3" t="s">
        <v>77</v>
      </c>
      <c r="C205" s="3" t="s">
        <v>40</v>
      </c>
      <c r="D205" s="3" t="s">
        <v>46</v>
      </c>
      <c r="E205" s="3" t="s">
        <v>56</v>
      </c>
      <c r="F205" s="3" t="s">
        <v>31</v>
      </c>
      <c r="G205" s="3" t="s">
        <v>32</v>
      </c>
      <c r="H205" s="3" t="s">
        <v>83</v>
      </c>
      <c r="I205" s="3" t="s">
        <v>38</v>
      </c>
      <c r="J205" s="6">
        <v>2024</v>
      </c>
      <c r="K205" s="3">
        <v>2585.96</v>
      </c>
      <c r="L205" s="3">
        <v>324457</v>
      </c>
      <c r="M205" s="3">
        <v>6322</v>
      </c>
      <c r="N205" s="3">
        <v>255</v>
      </c>
      <c r="O205" s="3">
        <v>1981.34</v>
      </c>
      <c r="P205" s="9">
        <f t="shared" si="15"/>
        <v>1.9484862400872844</v>
      </c>
      <c r="Q205" s="11">
        <f t="shared" si="16"/>
        <v>0.3134039860803543</v>
      </c>
      <c r="R205" s="13">
        <f t="shared" si="17"/>
        <v>7.7699607843137253</v>
      </c>
      <c r="S205" s="4">
        <f t="shared" si="18"/>
        <v>1.3051571158912656</v>
      </c>
      <c r="T205" s="19" t="str">
        <f t="shared" si="19"/>
        <v>🟡 Mid</v>
      </c>
    </row>
    <row r="206" spans="1:20" x14ac:dyDescent="0.3">
      <c r="A206" s="16">
        <v>205</v>
      </c>
      <c r="B206" s="1" t="s">
        <v>90</v>
      </c>
      <c r="C206" s="1" t="s">
        <v>21</v>
      </c>
      <c r="D206" s="1" t="s">
        <v>13</v>
      </c>
      <c r="E206" s="1" t="s">
        <v>56</v>
      </c>
      <c r="F206" s="1" t="s">
        <v>47</v>
      </c>
      <c r="G206" s="1" t="s">
        <v>50</v>
      </c>
      <c r="H206" s="1" t="s">
        <v>44</v>
      </c>
      <c r="I206" s="1" t="s">
        <v>45</v>
      </c>
      <c r="J206" s="5">
        <v>2023</v>
      </c>
      <c r="K206" s="1">
        <v>6358.49</v>
      </c>
      <c r="L206" s="1">
        <v>637512</v>
      </c>
      <c r="M206" s="1">
        <v>6481</v>
      </c>
      <c r="N206" s="1">
        <v>466</v>
      </c>
      <c r="O206" s="1">
        <v>6391.05</v>
      </c>
      <c r="P206" s="8">
        <f t="shared" si="15"/>
        <v>1.0166083148238778</v>
      </c>
      <c r="Q206" s="10">
        <f t="shared" si="16"/>
        <v>0.98612096898626755</v>
      </c>
      <c r="R206" s="12">
        <f t="shared" si="17"/>
        <v>13.714699570815451</v>
      </c>
      <c r="S206" s="2">
        <f t="shared" si="18"/>
        <v>0.9949053754860312</v>
      </c>
      <c r="T206" s="18" t="str">
        <f t="shared" si="19"/>
        <v>🔴 Low</v>
      </c>
    </row>
    <row r="207" spans="1:20" x14ac:dyDescent="0.3">
      <c r="A207" s="17">
        <v>206</v>
      </c>
      <c r="B207" s="3" t="s">
        <v>77</v>
      </c>
      <c r="C207" s="3" t="s">
        <v>40</v>
      </c>
      <c r="D207" s="3" t="s">
        <v>41</v>
      </c>
      <c r="E207" s="3" t="s">
        <v>61</v>
      </c>
      <c r="F207" s="3" t="s">
        <v>24</v>
      </c>
      <c r="G207" s="3" t="s">
        <v>43</v>
      </c>
      <c r="H207" s="3" t="s">
        <v>33</v>
      </c>
      <c r="I207" s="3" t="s">
        <v>34</v>
      </c>
      <c r="J207" s="6">
        <v>2024</v>
      </c>
      <c r="K207" s="3">
        <v>16421.64</v>
      </c>
      <c r="L207" s="3">
        <v>417022</v>
      </c>
      <c r="M207" s="3">
        <v>6218</v>
      </c>
      <c r="N207" s="3">
        <v>554</v>
      </c>
      <c r="O207" s="3">
        <v>16281.53</v>
      </c>
      <c r="P207" s="9">
        <f t="shared" si="15"/>
        <v>1.4910484338955738</v>
      </c>
      <c r="Q207" s="11">
        <f t="shared" si="16"/>
        <v>2.6184512705049858</v>
      </c>
      <c r="R207" s="13">
        <f t="shared" si="17"/>
        <v>29.389043321299638</v>
      </c>
      <c r="S207" s="4">
        <f t="shared" si="18"/>
        <v>1.0086054566124927</v>
      </c>
      <c r="T207" s="19" t="str">
        <f t="shared" si="19"/>
        <v>🔴 Low</v>
      </c>
    </row>
    <row r="208" spans="1:20" x14ac:dyDescent="0.3">
      <c r="A208" s="16">
        <v>207</v>
      </c>
      <c r="B208" s="1" t="s">
        <v>55</v>
      </c>
      <c r="C208" s="1" t="s">
        <v>36</v>
      </c>
      <c r="D208" s="1" t="s">
        <v>29</v>
      </c>
      <c r="E208" s="1" t="s">
        <v>42</v>
      </c>
      <c r="F208" s="1" t="s">
        <v>31</v>
      </c>
      <c r="G208" s="1" t="s">
        <v>50</v>
      </c>
      <c r="H208" s="1" t="s">
        <v>54</v>
      </c>
      <c r="I208" s="1" t="s">
        <v>45</v>
      </c>
      <c r="J208" s="5">
        <v>2023</v>
      </c>
      <c r="K208" s="1">
        <v>9049.8700000000008</v>
      </c>
      <c r="L208" s="1">
        <v>310482</v>
      </c>
      <c r="M208" s="1">
        <v>8980</v>
      </c>
      <c r="N208" s="1">
        <v>318</v>
      </c>
      <c r="O208" s="1">
        <v>8451.85</v>
      </c>
      <c r="P208" s="8">
        <f t="shared" si="15"/>
        <v>2.892277169046837</v>
      </c>
      <c r="Q208" s="10">
        <f t="shared" si="16"/>
        <v>0.94118596881959915</v>
      </c>
      <c r="R208" s="12">
        <f t="shared" si="17"/>
        <v>26.578144654088053</v>
      </c>
      <c r="S208" s="2">
        <f t="shared" si="18"/>
        <v>1.0707561066512066</v>
      </c>
      <c r="T208" s="18" t="str">
        <f t="shared" si="19"/>
        <v>🟡 Mid</v>
      </c>
    </row>
    <row r="209" spans="1:20" x14ac:dyDescent="0.3">
      <c r="A209" s="17">
        <v>208</v>
      </c>
      <c r="B209" s="3" t="s">
        <v>74</v>
      </c>
      <c r="C209" s="3" t="s">
        <v>21</v>
      </c>
      <c r="D209" s="3" t="s">
        <v>46</v>
      </c>
      <c r="E209" s="3" t="s">
        <v>23</v>
      </c>
      <c r="F209" s="3" t="s">
        <v>24</v>
      </c>
      <c r="G209" s="3" t="s">
        <v>43</v>
      </c>
      <c r="H209" s="3" t="s">
        <v>44</v>
      </c>
      <c r="I209" s="3" t="s">
        <v>45</v>
      </c>
      <c r="J209" s="6">
        <v>2023</v>
      </c>
      <c r="K209" s="3">
        <v>14447.11</v>
      </c>
      <c r="L209" s="3">
        <v>400303</v>
      </c>
      <c r="M209" s="3">
        <v>2141</v>
      </c>
      <c r="N209" s="3">
        <v>95</v>
      </c>
      <c r="O209" s="3">
        <v>14679.63</v>
      </c>
      <c r="P209" s="9">
        <f t="shared" si="15"/>
        <v>0.5348448550223206</v>
      </c>
      <c r="Q209" s="11">
        <f t="shared" si="16"/>
        <v>6.8564362447454457</v>
      </c>
      <c r="R209" s="13">
        <f t="shared" si="17"/>
        <v>154.52242105263156</v>
      </c>
      <c r="S209" s="4">
        <f t="shared" si="18"/>
        <v>0.98416036371488935</v>
      </c>
      <c r="T209" s="19" t="str">
        <f t="shared" si="19"/>
        <v>🔴 Low</v>
      </c>
    </row>
    <row r="210" spans="1:20" x14ac:dyDescent="0.3">
      <c r="A210" s="16">
        <v>209</v>
      </c>
      <c r="B210" s="1" t="s">
        <v>80</v>
      </c>
      <c r="C210" s="1" t="s">
        <v>40</v>
      </c>
      <c r="D210" s="1" t="s">
        <v>29</v>
      </c>
      <c r="E210" s="1" t="s">
        <v>61</v>
      </c>
      <c r="F210" s="1" t="s">
        <v>31</v>
      </c>
      <c r="G210" s="1" t="s">
        <v>50</v>
      </c>
      <c r="H210" s="1" t="s">
        <v>81</v>
      </c>
      <c r="I210" s="1" t="s">
        <v>34</v>
      </c>
      <c r="J210" s="5">
        <v>2023</v>
      </c>
      <c r="K210" s="1">
        <v>15919.06</v>
      </c>
      <c r="L210" s="1">
        <v>381993</v>
      </c>
      <c r="M210" s="1">
        <v>5066</v>
      </c>
      <c r="N210" s="1">
        <v>140</v>
      </c>
      <c r="O210" s="1">
        <v>15665.13</v>
      </c>
      <c r="P210" s="8">
        <f t="shared" si="15"/>
        <v>1.3262023126078226</v>
      </c>
      <c r="Q210" s="10">
        <f t="shared" si="16"/>
        <v>3.092208843268851</v>
      </c>
      <c r="R210" s="12">
        <f t="shared" si="17"/>
        <v>111.89378571428571</v>
      </c>
      <c r="S210" s="2">
        <f t="shared" si="18"/>
        <v>1.0162098878209118</v>
      </c>
      <c r="T210" s="18" t="str">
        <f t="shared" si="19"/>
        <v>🔴 Low</v>
      </c>
    </row>
    <row r="211" spans="1:20" x14ac:dyDescent="0.3">
      <c r="A211" s="17">
        <v>210</v>
      </c>
      <c r="B211" s="3" t="s">
        <v>97</v>
      </c>
      <c r="C211" s="3" t="s">
        <v>36</v>
      </c>
      <c r="D211" s="3" t="s">
        <v>13</v>
      </c>
      <c r="E211" s="3" t="s">
        <v>30</v>
      </c>
      <c r="F211" s="3" t="s">
        <v>31</v>
      </c>
      <c r="G211" s="3" t="s">
        <v>32</v>
      </c>
      <c r="H211" s="3" t="s">
        <v>68</v>
      </c>
      <c r="I211" s="3" t="s">
        <v>27</v>
      </c>
      <c r="J211" s="6">
        <v>2024</v>
      </c>
      <c r="K211" s="3">
        <v>19352.82</v>
      </c>
      <c r="L211" s="3">
        <v>352704</v>
      </c>
      <c r="M211" s="3">
        <v>6797</v>
      </c>
      <c r="N211" s="3">
        <v>799</v>
      </c>
      <c r="O211" s="3">
        <v>15110.51</v>
      </c>
      <c r="P211" s="9">
        <f t="shared" si="15"/>
        <v>1.9271116857194701</v>
      </c>
      <c r="Q211" s="11">
        <f t="shared" si="16"/>
        <v>2.223114609386494</v>
      </c>
      <c r="R211" s="13">
        <f t="shared" si="17"/>
        <v>18.911777221526908</v>
      </c>
      <c r="S211" s="4">
        <f t="shared" si="18"/>
        <v>1.2807522711013724</v>
      </c>
      <c r="T211" s="19" t="str">
        <f t="shared" si="19"/>
        <v>🟡 Mid</v>
      </c>
    </row>
    <row r="212" spans="1:20" x14ac:dyDescent="0.3">
      <c r="A212" s="16">
        <v>211</v>
      </c>
      <c r="B212" s="1" t="s">
        <v>88</v>
      </c>
      <c r="C212" s="1" t="s">
        <v>36</v>
      </c>
      <c r="D212" s="1" t="s">
        <v>13</v>
      </c>
      <c r="E212" s="1" t="s">
        <v>30</v>
      </c>
      <c r="F212" s="1" t="s">
        <v>31</v>
      </c>
      <c r="G212" s="1" t="s">
        <v>32</v>
      </c>
      <c r="H212" s="1" t="s">
        <v>81</v>
      </c>
      <c r="I212" s="1" t="s">
        <v>34</v>
      </c>
      <c r="J212" s="5">
        <v>2023</v>
      </c>
      <c r="K212" s="1">
        <v>9192.68</v>
      </c>
      <c r="L212" s="1">
        <v>415133</v>
      </c>
      <c r="M212" s="1">
        <v>8576</v>
      </c>
      <c r="N212" s="1">
        <v>843</v>
      </c>
      <c r="O212" s="1">
        <v>6097.62</v>
      </c>
      <c r="P212" s="8">
        <f t="shared" si="15"/>
        <v>2.0658439584422341</v>
      </c>
      <c r="Q212" s="10">
        <f t="shared" si="16"/>
        <v>0.71100979477611936</v>
      </c>
      <c r="R212" s="12">
        <f t="shared" si="17"/>
        <v>7.2332384341637006</v>
      </c>
      <c r="S212" s="2">
        <f t="shared" si="18"/>
        <v>1.5075849265779109</v>
      </c>
      <c r="T212" s="18" t="str">
        <f t="shared" si="19"/>
        <v>🟡 Mid</v>
      </c>
    </row>
    <row r="213" spans="1:20" x14ac:dyDescent="0.3">
      <c r="A213" s="17">
        <v>212</v>
      </c>
      <c r="B213" s="3" t="s">
        <v>89</v>
      </c>
      <c r="C213" s="3" t="s">
        <v>36</v>
      </c>
      <c r="D213" s="3" t="s">
        <v>22</v>
      </c>
      <c r="E213" s="3" t="s">
        <v>23</v>
      </c>
      <c r="F213" s="3" t="s">
        <v>47</v>
      </c>
      <c r="G213" s="3" t="s">
        <v>57</v>
      </c>
      <c r="H213" s="3" t="s">
        <v>58</v>
      </c>
      <c r="I213" s="3" t="s">
        <v>27</v>
      </c>
      <c r="J213" s="6">
        <v>2023</v>
      </c>
      <c r="K213" s="3">
        <v>7292.41</v>
      </c>
      <c r="L213" s="3">
        <v>364731</v>
      </c>
      <c r="M213" s="3">
        <v>10845</v>
      </c>
      <c r="N213" s="3">
        <v>128</v>
      </c>
      <c r="O213" s="3">
        <v>5009.04</v>
      </c>
      <c r="P213" s="9">
        <f t="shared" si="15"/>
        <v>2.9734242496524836</v>
      </c>
      <c r="Q213" s="11">
        <f t="shared" si="16"/>
        <v>0.46187551867219917</v>
      </c>
      <c r="R213" s="13">
        <f t="shared" si="17"/>
        <v>39.133125</v>
      </c>
      <c r="S213" s="4">
        <f t="shared" si="18"/>
        <v>1.4558498235190775</v>
      </c>
      <c r="T213" s="19" t="str">
        <f t="shared" si="19"/>
        <v>🟡 Mid</v>
      </c>
    </row>
    <row r="214" spans="1:20" x14ac:dyDescent="0.3">
      <c r="A214" s="16">
        <v>213</v>
      </c>
      <c r="B214" s="1" t="s">
        <v>100</v>
      </c>
      <c r="C214" s="1" t="s">
        <v>40</v>
      </c>
      <c r="D214" s="1" t="s">
        <v>41</v>
      </c>
      <c r="E214" s="1" t="s">
        <v>42</v>
      </c>
      <c r="F214" s="1" t="s">
        <v>47</v>
      </c>
      <c r="G214" s="1" t="s">
        <v>50</v>
      </c>
      <c r="H214" s="1" t="s">
        <v>37</v>
      </c>
      <c r="I214" s="1" t="s">
        <v>38</v>
      </c>
      <c r="J214" s="5">
        <v>2023</v>
      </c>
      <c r="K214" s="1">
        <v>6355.15</v>
      </c>
      <c r="L214" s="1">
        <v>750305</v>
      </c>
      <c r="M214" s="1">
        <v>17475</v>
      </c>
      <c r="N214" s="1">
        <v>1954</v>
      </c>
      <c r="O214" s="1">
        <v>5620.49</v>
      </c>
      <c r="P214" s="8">
        <f t="shared" si="15"/>
        <v>2.3290528518402516</v>
      </c>
      <c r="Q214" s="10">
        <f t="shared" si="16"/>
        <v>0.32163032904148781</v>
      </c>
      <c r="R214" s="12">
        <f t="shared" si="17"/>
        <v>2.8764022517911974</v>
      </c>
      <c r="S214" s="2">
        <f t="shared" si="18"/>
        <v>1.1307110234161077</v>
      </c>
      <c r="T214" s="18" t="str">
        <f t="shared" si="19"/>
        <v>🟡 Mid</v>
      </c>
    </row>
    <row r="215" spans="1:20" x14ac:dyDescent="0.3">
      <c r="A215" s="17">
        <v>214</v>
      </c>
      <c r="B215" s="3" t="s">
        <v>97</v>
      </c>
      <c r="C215" s="3" t="s">
        <v>36</v>
      </c>
      <c r="D215" s="3" t="s">
        <v>29</v>
      </c>
      <c r="E215" s="3" t="s">
        <v>30</v>
      </c>
      <c r="F215" s="3" t="s">
        <v>31</v>
      </c>
      <c r="G215" s="3" t="s">
        <v>25</v>
      </c>
      <c r="H215" s="3" t="s">
        <v>37</v>
      </c>
      <c r="I215" s="3" t="s">
        <v>38</v>
      </c>
      <c r="J215" s="6">
        <v>2024</v>
      </c>
      <c r="K215" s="3">
        <v>19190.02</v>
      </c>
      <c r="L215" s="3">
        <v>248118</v>
      </c>
      <c r="M215" s="3">
        <v>8544</v>
      </c>
      <c r="N215" s="3">
        <v>289</v>
      </c>
      <c r="O215" s="3">
        <v>16589.759999999998</v>
      </c>
      <c r="P215" s="9">
        <f t="shared" si="15"/>
        <v>3.4435228399390607</v>
      </c>
      <c r="Q215" s="11">
        <f t="shared" si="16"/>
        <v>1.9416853932584268</v>
      </c>
      <c r="R215" s="13">
        <f t="shared" si="17"/>
        <v>57.404013840830444</v>
      </c>
      <c r="S215" s="4">
        <f t="shared" si="18"/>
        <v>1.1567388557760934</v>
      </c>
      <c r="T215" s="19" t="str">
        <f t="shared" si="19"/>
        <v>🟢 High</v>
      </c>
    </row>
    <row r="216" spans="1:20" x14ac:dyDescent="0.3">
      <c r="A216" s="16">
        <v>215</v>
      </c>
      <c r="B216" s="1" t="s">
        <v>75</v>
      </c>
      <c r="C216" s="1" t="s">
        <v>36</v>
      </c>
      <c r="D216" s="1" t="s">
        <v>41</v>
      </c>
      <c r="E216" s="1" t="s">
        <v>42</v>
      </c>
      <c r="F216" s="1" t="s">
        <v>31</v>
      </c>
      <c r="G216" s="1" t="s">
        <v>32</v>
      </c>
      <c r="H216" s="1" t="s">
        <v>83</v>
      </c>
      <c r="I216" s="1" t="s">
        <v>38</v>
      </c>
      <c r="J216" s="5">
        <v>2024</v>
      </c>
      <c r="K216" s="1">
        <v>12047.96</v>
      </c>
      <c r="L216" s="1">
        <v>412723</v>
      </c>
      <c r="M216" s="1">
        <v>12990</v>
      </c>
      <c r="N216" s="1">
        <v>1068</v>
      </c>
      <c r="O216" s="1">
        <v>10789.9</v>
      </c>
      <c r="P216" s="8">
        <f t="shared" si="15"/>
        <v>3.1473894113000731</v>
      </c>
      <c r="Q216" s="10">
        <f t="shared" si="16"/>
        <v>0.83063125481139333</v>
      </c>
      <c r="R216" s="12">
        <f t="shared" si="17"/>
        <v>10.102902621722846</v>
      </c>
      <c r="S216" s="2">
        <f t="shared" si="18"/>
        <v>1.1165960759599254</v>
      </c>
      <c r="T216" s="18" t="str">
        <f t="shared" si="19"/>
        <v>🟢 High</v>
      </c>
    </row>
    <row r="217" spans="1:20" x14ac:dyDescent="0.3">
      <c r="A217" s="17">
        <v>216</v>
      </c>
      <c r="B217" s="3" t="s">
        <v>70</v>
      </c>
      <c r="C217" s="3" t="s">
        <v>36</v>
      </c>
      <c r="D217" s="3" t="s">
        <v>29</v>
      </c>
      <c r="E217" s="3" t="s">
        <v>30</v>
      </c>
      <c r="F217" s="3" t="s">
        <v>47</v>
      </c>
      <c r="G217" s="3" t="s">
        <v>43</v>
      </c>
      <c r="H217" s="3" t="s">
        <v>83</v>
      </c>
      <c r="I217" s="3" t="s">
        <v>38</v>
      </c>
      <c r="J217" s="6">
        <v>2024</v>
      </c>
      <c r="K217" s="3">
        <v>2722.12</v>
      </c>
      <c r="L217" s="3">
        <v>708281</v>
      </c>
      <c r="M217" s="3">
        <v>19900</v>
      </c>
      <c r="N217" s="3">
        <v>713</v>
      </c>
      <c r="O217" s="3">
        <v>2236.6</v>
      </c>
      <c r="P217" s="9">
        <f t="shared" si="15"/>
        <v>2.8096193459940335</v>
      </c>
      <c r="Q217" s="11">
        <f t="shared" si="16"/>
        <v>0.11239195979899497</v>
      </c>
      <c r="R217" s="13">
        <f t="shared" si="17"/>
        <v>3.1368863955119215</v>
      </c>
      <c r="S217" s="4">
        <f t="shared" si="18"/>
        <v>1.21707949566306</v>
      </c>
      <c r="T217" s="19" t="str">
        <f t="shared" si="19"/>
        <v>🟡 Mid</v>
      </c>
    </row>
    <row r="218" spans="1:20" x14ac:dyDescent="0.3">
      <c r="A218" s="16">
        <v>217</v>
      </c>
      <c r="B218" s="1" t="s">
        <v>95</v>
      </c>
      <c r="C218" s="1" t="s">
        <v>21</v>
      </c>
      <c r="D218" s="1" t="s">
        <v>29</v>
      </c>
      <c r="E218" s="1" t="s">
        <v>56</v>
      </c>
      <c r="F218" s="1" t="s">
        <v>31</v>
      </c>
      <c r="G218" s="1" t="s">
        <v>50</v>
      </c>
      <c r="H218" s="1" t="s">
        <v>79</v>
      </c>
      <c r="I218" s="1" t="s">
        <v>45</v>
      </c>
      <c r="J218" s="5">
        <v>2023</v>
      </c>
      <c r="K218" s="1">
        <v>7284.53</v>
      </c>
      <c r="L218" s="1">
        <v>485101</v>
      </c>
      <c r="M218" s="1">
        <v>242</v>
      </c>
      <c r="N218" s="1">
        <v>7</v>
      </c>
      <c r="O218" s="1">
        <v>5280.75</v>
      </c>
      <c r="P218" s="8">
        <f t="shared" si="15"/>
        <v>4.9886518477595392E-2</v>
      </c>
      <c r="Q218" s="10">
        <f t="shared" si="16"/>
        <v>21.821280991735538</v>
      </c>
      <c r="R218" s="12">
        <f t="shared" si="17"/>
        <v>754.39285714285711</v>
      </c>
      <c r="S218" s="2">
        <f t="shared" si="18"/>
        <v>1.3794498887468636</v>
      </c>
      <c r="T218" s="18" t="str">
        <f t="shared" si="19"/>
        <v>🔴 Low</v>
      </c>
    </row>
    <row r="219" spans="1:20" x14ac:dyDescent="0.3">
      <c r="A219" s="17">
        <v>218</v>
      </c>
      <c r="B219" s="3" t="s">
        <v>20</v>
      </c>
      <c r="C219" s="3" t="s">
        <v>21</v>
      </c>
      <c r="D219" s="3" t="s">
        <v>46</v>
      </c>
      <c r="E219" s="3" t="s">
        <v>23</v>
      </c>
      <c r="F219" s="3" t="s">
        <v>24</v>
      </c>
      <c r="G219" s="3" t="s">
        <v>25</v>
      </c>
      <c r="H219" s="3" t="s">
        <v>52</v>
      </c>
      <c r="I219" s="3" t="s">
        <v>38</v>
      </c>
      <c r="J219" s="6">
        <v>2023</v>
      </c>
      <c r="K219" s="3">
        <v>4069.37</v>
      </c>
      <c r="L219" s="3">
        <v>732120</v>
      </c>
      <c r="M219" s="3">
        <v>612</v>
      </c>
      <c r="N219" s="3">
        <v>29</v>
      </c>
      <c r="O219" s="3">
        <v>3105.56</v>
      </c>
      <c r="P219" s="9">
        <f t="shared" si="15"/>
        <v>8.3592853630552369E-2</v>
      </c>
      <c r="Q219" s="11">
        <f t="shared" si="16"/>
        <v>5.0744444444444445</v>
      </c>
      <c r="R219" s="13">
        <f t="shared" si="17"/>
        <v>107.08827586206897</v>
      </c>
      <c r="S219" s="4">
        <f t="shared" si="18"/>
        <v>1.3103498241862981</v>
      </c>
      <c r="T219" s="19" t="str">
        <f t="shared" si="19"/>
        <v>🔴 Low</v>
      </c>
    </row>
    <row r="220" spans="1:20" x14ac:dyDescent="0.3">
      <c r="A220" s="16">
        <v>219</v>
      </c>
      <c r="B220" s="1" t="s">
        <v>69</v>
      </c>
      <c r="C220" s="1" t="s">
        <v>21</v>
      </c>
      <c r="D220" s="1" t="s">
        <v>29</v>
      </c>
      <c r="E220" s="1" t="s">
        <v>56</v>
      </c>
      <c r="F220" s="1" t="s">
        <v>47</v>
      </c>
      <c r="G220" s="1" t="s">
        <v>25</v>
      </c>
      <c r="H220" s="1" t="s">
        <v>48</v>
      </c>
      <c r="I220" s="1" t="s">
        <v>34</v>
      </c>
      <c r="J220" s="5">
        <v>2023</v>
      </c>
      <c r="K220" s="1">
        <v>11320.8</v>
      </c>
      <c r="L220" s="1">
        <v>518426</v>
      </c>
      <c r="M220" s="1">
        <v>3225</v>
      </c>
      <c r="N220" s="1">
        <v>113</v>
      </c>
      <c r="O220" s="1">
        <v>9737.61</v>
      </c>
      <c r="P220" s="8">
        <f t="shared" si="15"/>
        <v>0.62207528171812376</v>
      </c>
      <c r="Q220" s="10">
        <f t="shared" si="16"/>
        <v>3.0194139534883724</v>
      </c>
      <c r="R220" s="12">
        <f t="shared" si="17"/>
        <v>86.173539823008852</v>
      </c>
      <c r="S220" s="2">
        <f t="shared" si="18"/>
        <v>1.1625850696423454</v>
      </c>
      <c r="T220" s="18" t="str">
        <f t="shared" si="19"/>
        <v>🔴 Low</v>
      </c>
    </row>
    <row r="221" spans="1:20" x14ac:dyDescent="0.3">
      <c r="A221" s="17">
        <v>220</v>
      </c>
      <c r="B221" s="3" t="s">
        <v>60</v>
      </c>
      <c r="C221" s="3" t="s">
        <v>40</v>
      </c>
      <c r="D221" s="3" t="s">
        <v>41</v>
      </c>
      <c r="E221" s="3" t="s">
        <v>30</v>
      </c>
      <c r="F221" s="3" t="s">
        <v>24</v>
      </c>
      <c r="G221" s="3" t="s">
        <v>50</v>
      </c>
      <c r="H221" s="3" t="s">
        <v>81</v>
      </c>
      <c r="I221" s="3" t="s">
        <v>34</v>
      </c>
      <c r="J221" s="6">
        <v>2024</v>
      </c>
      <c r="K221" s="3">
        <v>8478.1200000000008</v>
      </c>
      <c r="L221" s="3">
        <v>520611</v>
      </c>
      <c r="M221" s="3">
        <v>9955</v>
      </c>
      <c r="N221" s="3">
        <v>928</v>
      </c>
      <c r="O221" s="3">
        <v>8077.57</v>
      </c>
      <c r="P221" s="9">
        <f t="shared" si="15"/>
        <v>1.9121762698060547</v>
      </c>
      <c r="Q221" s="11">
        <f t="shared" si="16"/>
        <v>0.81140833751883468</v>
      </c>
      <c r="R221" s="13">
        <f t="shared" si="17"/>
        <v>8.7042780172413785</v>
      </c>
      <c r="S221" s="4">
        <f t="shared" si="18"/>
        <v>1.0495879330046043</v>
      </c>
      <c r="T221" s="19" t="str">
        <f t="shared" si="19"/>
        <v>🟡 Mid</v>
      </c>
    </row>
    <row r="222" spans="1:20" x14ac:dyDescent="0.3">
      <c r="A222" s="16">
        <v>221</v>
      </c>
      <c r="B222" s="1" t="s">
        <v>102</v>
      </c>
      <c r="C222" s="1" t="s">
        <v>40</v>
      </c>
      <c r="D222" s="1" t="s">
        <v>22</v>
      </c>
      <c r="E222" s="1" t="s">
        <v>61</v>
      </c>
      <c r="F222" s="1" t="s">
        <v>24</v>
      </c>
      <c r="G222" s="1" t="s">
        <v>25</v>
      </c>
      <c r="H222" s="1" t="s">
        <v>52</v>
      </c>
      <c r="I222" s="1" t="s">
        <v>38</v>
      </c>
      <c r="J222" s="5">
        <v>2023</v>
      </c>
      <c r="K222" s="1">
        <v>5859.63</v>
      </c>
      <c r="L222" s="1">
        <v>568723</v>
      </c>
      <c r="M222" s="1">
        <v>7907</v>
      </c>
      <c r="N222" s="1">
        <v>106</v>
      </c>
      <c r="O222" s="1">
        <v>5417.05</v>
      </c>
      <c r="P222" s="8">
        <f t="shared" si="15"/>
        <v>1.3903077596650744</v>
      </c>
      <c r="Q222" s="10">
        <f t="shared" si="16"/>
        <v>0.68509548501327944</v>
      </c>
      <c r="R222" s="12">
        <f t="shared" si="17"/>
        <v>51.104245283018869</v>
      </c>
      <c r="S222" s="2">
        <f t="shared" si="18"/>
        <v>1.081701294985278</v>
      </c>
      <c r="T222" s="18" t="str">
        <f t="shared" si="19"/>
        <v>🔴 Low</v>
      </c>
    </row>
    <row r="223" spans="1:20" x14ac:dyDescent="0.3">
      <c r="A223" s="17">
        <v>222</v>
      </c>
      <c r="B223" s="3" t="s">
        <v>85</v>
      </c>
      <c r="C223" s="3" t="s">
        <v>40</v>
      </c>
      <c r="D223" s="3" t="s">
        <v>29</v>
      </c>
      <c r="E223" s="3" t="s">
        <v>42</v>
      </c>
      <c r="F223" s="3" t="s">
        <v>47</v>
      </c>
      <c r="G223" s="3" t="s">
        <v>32</v>
      </c>
      <c r="H223" s="3" t="s">
        <v>37</v>
      </c>
      <c r="I223" s="3" t="s">
        <v>38</v>
      </c>
      <c r="J223" s="6">
        <v>2023</v>
      </c>
      <c r="K223" s="3">
        <v>15320.08</v>
      </c>
      <c r="L223" s="3">
        <v>467806</v>
      </c>
      <c r="M223" s="3">
        <v>11440</v>
      </c>
      <c r="N223" s="3">
        <v>301</v>
      </c>
      <c r="O223" s="3">
        <v>15560.69</v>
      </c>
      <c r="P223" s="9">
        <f t="shared" si="15"/>
        <v>2.4454581600064982</v>
      </c>
      <c r="Q223" s="11">
        <f t="shared" si="16"/>
        <v>1.3602001748251749</v>
      </c>
      <c r="R223" s="13">
        <f t="shared" si="17"/>
        <v>51.696644518272429</v>
      </c>
      <c r="S223" s="4">
        <f t="shared" si="18"/>
        <v>0.98453731807522671</v>
      </c>
      <c r="T223" s="19" t="str">
        <f t="shared" si="19"/>
        <v>🟡 Mid</v>
      </c>
    </row>
    <row r="224" spans="1:20" x14ac:dyDescent="0.3">
      <c r="A224" s="16">
        <v>223</v>
      </c>
      <c r="B224" s="1" t="s">
        <v>93</v>
      </c>
      <c r="C224" s="1" t="s">
        <v>36</v>
      </c>
      <c r="D224" s="1" t="s">
        <v>13</v>
      </c>
      <c r="E224" s="1" t="s">
        <v>42</v>
      </c>
      <c r="F224" s="1" t="s">
        <v>47</v>
      </c>
      <c r="G224" s="1" t="s">
        <v>43</v>
      </c>
      <c r="H224" s="1" t="s">
        <v>37</v>
      </c>
      <c r="I224" s="1" t="s">
        <v>38</v>
      </c>
      <c r="J224" s="5">
        <v>2023</v>
      </c>
      <c r="K224" s="1">
        <v>9061.86</v>
      </c>
      <c r="L224" s="1">
        <v>128088</v>
      </c>
      <c r="M224" s="1">
        <v>3661</v>
      </c>
      <c r="N224" s="1">
        <v>390</v>
      </c>
      <c r="O224" s="1">
        <v>7674.74</v>
      </c>
      <c r="P224" s="8">
        <f t="shared" si="15"/>
        <v>2.8581912435200798</v>
      </c>
      <c r="Q224" s="10">
        <f t="shared" si="16"/>
        <v>2.0963507238459438</v>
      </c>
      <c r="R224" s="12">
        <f t="shared" si="17"/>
        <v>19.678820512820511</v>
      </c>
      <c r="S224" s="2">
        <f t="shared" si="18"/>
        <v>1.1807383702900687</v>
      </c>
      <c r="T224" s="18" t="str">
        <f t="shared" si="19"/>
        <v>🟡 Mid</v>
      </c>
    </row>
    <row r="225" spans="1:20" x14ac:dyDescent="0.3">
      <c r="A225" s="17">
        <v>224</v>
      </c>
      <c r="B225" s="3" t="s">
        <v>80</v>
      </c>
      <c r="C225" s="3" t="s">
        <v>40</v>
      </c>
      <c r="D225" s="3" t="s">
        <v>46</v>
      </c>
      <c r="E225" s="3" t="s">
        <v>61</v>
      </c>
      <c r="F225" s="3" t="s">
        <v>24</v>
      </c>
      <c r="G225" s="3" t="s">
        <v>25</v>
      </c>
      <c r="H225" s="3" t="s">
        <v>83</v>
      </c>
      <c r="I225" s="3" t="s">
        <v>38</v>
      </c>
      <c r="J225" s="6">
        <v>2023</v>
      </c>
      <c r="K225" s="3">
        <v>11616.45</v>
      </c>
      <c r="L225" s="3">
        <v>563136</v>
      </c>
      <c r="M225" s="3">
        <v>6966</v>
      </c>
      <c r="N225" s="3">
        <v>396</v>
      </c>
      <c r="O225" s="3">
        <v>9598.4699999999993</v>
      </c>
      <c r="P225" s="9">
        <f t="shared" si="15"/>
        <v>1.23700136379134</v>
      </c>
      <c r="Q225" s="11">
        <f t="shared" si="16"/>
        <v>1.3779026701119723</v>
      </c>
      <c r="R225" s="13">
        <f t="shared" si="17"/>
        <v>24.238560606060606</v>
      </c>
      <c r="S225" s="4">
        <f t="shared" si="18"/>
        <v>1.210239756961266</v>
      </c>
      <c r="T225" s="19" t="str">
        <f t="shared" si="19"/>
        <v>🔴 Low</v>
      </c>
    </row>
    <row r="226" spans="1:20" x14ac:dyDescent="0.3">
      <c r="A226" s="16">
        <v>225</v>
      </c>
      <c r="B226" s="1" t="s">
        <v>101</v>
      </c>
      <c r="C226" s="1" t="s">
        <v>40</v>
      </c>
      <c r="D226" s="1" t="s">
        <v>13</v>
      </c>
      <c r="E226" s="1" t="s">
        <v>61</v>
      </c>
      <c r="F226" s="1" t="s">
        <v>47</v>
      </c>
      <c r="G226" s="1" t="s">
        <v>32</v>
      </c>
      <c r="H226" s="1" t="s">
        <v>44</v>
      </c>
      <c r="I226" s="1" t="s">
        <v>45</v>
      </c>
      <c r="J226" s="5">
        <v>2023</v>
      </c>
      <c r="K226" s="1">
        <v>3143.98</v>
      </c>
      <c r="L226" s="1">
        <v>791530</v>
      </c>
      <c r="M226" s="1">
        <v>14636</v>
      </c>
      <c r="N226" s="1">
        <v>1748</v>
      </c>
      <c r="O226" s="1">
        <v>3031.3</v>
      </c>
      <c r="P226" s="8">
        <f t="shared" si="15"/>
        <v>1.8490771038368727</v>
      </c>
      <c r="Q226" s="10">
        <f t="shared" si="16"/>
        <v>0.20711259907078439</v>
      </c>
      <c r="R226" s="12">
        <f t="shared" si="17"/>
        <v>1.7341533180778033</v>
      </c>
      <c r="S226" s="2">
        <f t="shared" si="18"/>
        <v>1.0371721703559529</v>
      </c>
      <c r="T226" s="18" t="str">
        <f t="shared" si="19"/>
        <v>🟡 Mid</v>
      </c>
    </row>
    <row r="227" spans="1:20" x14ac:dyDescent="0.3">
      <c r="A227" s="17">
        <v>226</v>
      </c>
      <c r="B227" s="3" t="s">
        <v>65</v>
      </c>
      <c r="C227" s="3" t="s">
        <v>36</v>
      </c>
      <c r="D227" s="3" t="s">
        <v>46</v>
      </c>
      <c r="E227" s="3" t="s">
        <v>30</v>
      </c>
      <c r="F227" s="3" t="s">
        <v>31</v>
      </c>
      <c r="G227" s="3" t="s">
        <v>43</v>
      </c>
      <c r="H227" s="3" t="s">
        <v>83</v>
      </c>
      <c r="I227" s="3" t="s">
        <v>38</v>
      </c>
      <c r="J227" s="6">
        <v>2024</v>
      </c>
      <c r="K227" s="3">
        <v>10044.450000000001</v>
      </c>
      <c r="L227" s="3">
        <v>610474</v>
      </c>
      <c r="M227" s="3">
        <v>10424</v>
      </c>
      <c r="N227" s="3">
        <v>812</v>
      </c>
      <c r="O227" s="3">
        <v>8675.2000000000007</v>
      </c>
      <c r="P227" s="9">
        <f t="shared" si="15"/>
        <v>1.707525627627057</v>
      </c>
      <c r="Q227" s="11">
        <f t="shared" si="16"/>
        <v>0.83223330775134308</v>
      </c>
      <c r="R227" s="13">
        <f t="shared" si="17"/>
        <v>10.683743842364533</v>
      </c>
      <c r="S227" s="4">
        <f t="shared" si="18"/>
        <v>1.1578349778679453</v>
      </c>
      <c r="T227" s="19" t="str">
        <f t="shared" si="19"/>
        <v>🟡 Mid</v>
      </c>
    </row>
    <row r="228" spans="1:20" x14ac:dyDescent="0.3">
      <c r="A228" s="16">
        <v>227</v>
      </c>
      <c r="B228" s="1" t="s">
        <v>66</v>
      </c>
      <c r="C228" s="1" t="s">
        <v>40</v>
      </c>
      <c r="D228" s="1" t="s">
        <v>22</v>
      </c>
      <c r="E228" s="1" t="s">
        <v>42</v>
      </c>
      <c r="F228" s="1" t="s">
        <v>47</v>
      </c>
      <c r="G228" s="1" t="s">
        <v>32</v>
      </c>
      <c r="H228" s="1" t="s">
        <v>54</v>
      </c>
      <c r="I228" s="1" t="s">
        <v>45</v>
      </c>
      <c r="J228" s="5">
        <v>2024</v>
      </c>
      <c r="K228" s="1">
        <v>14046.72</v>
      </c>
      <c r="L228" s="1">
        <v>391999</v>
      </c>
      <c r="M228" s="1">
        <v>4095</v>
      </c>
      <c r="N228" s="1">
        <v>56</v>
      </c>
      <c r="O228" s="1">
        <v>13554.26</v>
      </c>
      <c r="P228" s="8">
        <f t="shared" si="15"/>
        <v>1.0446455220549034</v>
      </c>
      <c r="Q228" s="10">
        <f t="shared" si="16"/>
        <v>3.3099536019536022</v>
      </c>
      <c r="R228" s="12">
        <f t="shared" si="17"/>
        <v>242.04035714285715</v>
      </c>
      <c r="S228" s="2">
        <f t="shared" si="18"/>
        <v>1.036332488826391</v>
      </c>
      <c r="T228" s="18" t="str">
        <f t="shared" si="19"/>
        <v>🔴 Low</v>
      </c>
    </row>
    <row r="229" spans="1:20" x14ac:dyDescent="0.3">
      <c r="A229" s="17">
        <v>228</v>
      </c>
      <c r="B229" s="3" t="s">
        <v>20</v>
      </c>
      <c r="C229" s="3" t="s">
        <v>21</v>
      </c>
      <c r="D229" s="3" t="s">
        <v>41</v>
      </c>
      <c r="E229" s="3" t="s">
        <v>23</v>
      </c>
      <c r="F229" s="3" t="s">
        <v>24</v>
      </c>
      <c r="G229" s="3" t="s">
        <v>32</v>
      </c>
      <c r="H229" s="3" t="s">
        <v>33</v>
      </c>
      <c r="I229" s="3" t="s">
        <v>34</v>
      </c>
      <c r="J229" s="6">
        <v>2023</v>
      </c>
      <c r="K229" s="3">
        <v>19378.509999999998</v>
      </c>
      <c r="L229" s="3">
        <v>227142</v>
      </c>
      <c r="M229" s="3">
        <v>1959</v>
      </c>
      <c r="N229" s="3">
        <v>195</v>
      </c>
      <c r="O229" s="3">
        <v>14254.9</v>
      </c>
      <c r="P229" s="9">
        <f t="shared" si="15"/>
        <v>0.86245608473994251</v>
      </c>
      <c r="Q229" s="11">
        <f t="shared" si="16"/>
        <v>7.2766207248596224</v>
      </c>
      <c r="R229" s="13">
        <f t="shared" si="17"/>
        <v>73.102051282051278</v>
      </c>
      <c r="S229" s="4">
        <f t="shared" si="18"/>
        <v>1.3594279861661602</v>
      </c>
      <c r="T229" s="19" t="str">
        <f t="shared" si="19"/>
        <v>🔴 Low</v>
      </c>
    </row>
    <row r="230" spans="1:20" x14ac:dyDescent="0.3">
      <c r="A230" s="16">
        <v>229</v>
      </c>
      <c r="B230" s="1" t="s">
        <v>96</v>
      </c>
      <c r="C230" s="1" t="s">
        <v>40</v>
      </c>
      <c r="D230" s="1" t="s">
        <v>29</v>
      </c>
      <c r="E230" s="1" t="s">
        <v>61</v>
      </c>
      <c r="F230" s="1" t="s">
        <v>24</v>
      </c>
      <c r="G230" s="1" t="s">
        <v>32</v>
      </c>
      <c r="H230" s="1" t="s">
        <v>48</v>
      </c>
      <c r="I230" s="1" t="s">
        <v>34</v>
      </c>
      <c r="J230" s="5">
        <v>2024</v>
      </c>
      <c r="K230" s="1">
        <v>17936.02</v>
      </c>
      <c r="L230" s="1">
        <v>55760</v>
      </c>
      <c r="M230" s="1">
        <v>1267</v>
      </c>
      <c r="N230" s="1">
        <v>44</v>
      </c>
      <c r="O230" s="1">
        <v>10884.26</v>
      </c>
      <c r="P230" s="8">
        <f t="shared" si="15"/>
        <v>2.2722381635581064</v>
      </c>
      <c r="Q230" s="10">
        <f t="shared" si="16"/>
        <v>8.5905761641673237</v>
      </c>
      <c r="R230" s="12">
        <f t="shared" si="17"/>
        <v>247.36954545454546</v>
      </c>
      <c r="S230" s="2">
        <f t="shared" si="18"/>
        <v>1.6478860299184326</v>
      </c>
      <c r="T230" s="18" t="str">
        <f t="shared" si="19"/>
        <v>🟡 Mid</v>
      </c>
    </row>
    <row r="231" spans="1:20" x14ac:dyDescent="0.3">
      <c r="A231" s="17">
        <v>230</v>
      </c>
      <c r="B231" s="3" t="s">
        <v>89</v>
      </c>
      <c r="C231" s="3" t="s">
        <v>36</v>
      </c>
      <c r="D231" s="3" t="s">
        <v>41</v>
      </c>
      <c r="E231" s="3" t="s">
        <v>42</v>
      </c>
      <c r="F231" s="3" t="s">
        <v>47</v>
      </c>
      <c r="G231" s="3" t="s">
        <v>25</v>
      </c>
      <c r="H231" s="3" t="s">
        <v>54</v>
      </c>
      <c r="I231" s="3" t="s">
        <v>45</v>
      </c>
      <c r="J231" s="6">
        <v>2023</v>
      </c>
      <c r="K231" s="3">
        <v>17701.88</v>
      </c>
      <c r="L231" s="3">
        <v>321528</v>
      </c>
      <c r="M231" s="3">
        <v>9644</v>
      </c>
      <c r="N231" s="3">
        <v>701</v>
      </c>
      <c r="O231" s="3">
        <v>17555.75</v>
      </c>
      <c r="P231" s="9">
        <f t="shared" si="15"/>
        <v>2.9994277325769447</v>
      </c>
      <c r="Q231" s="11">
        <f t="shared" si="16"/>
        <v>1.8203805474906678</v>
      </c>
      <c r="R231" s="13">
        <f t="shared" si="17"/>
        <v>25.043865905848786</v>
      </c>
      <c r="S231" s="4">
        <f t="shared" si="18"/>
        <v>1.0083237685658546</v>
      </c>
      <c r="T231" s="19" t="str">
        <f t="shared" si="19"/>
        <v>🟡 Mid</v>
      </c>
    </row>
    <row r="232" spans="1:20" x14ac:dyDescent="0.3">
      <c r="A232" s="16">
        <v>231</v>
      </c>
      <c r="B232" s="1" t="s">
        <v>85</v>
      </c>
      <c r="C232" s="1" t="s">
        <v>40</v>
      </c>
      <c r="D232" s="1" t="s">
        <v>13</v>
      </c>
      <c r="E232" s="1" t="s">
        <v>23</v>
      </c>
      <c r="F232" s="1" t="s">
        <v>24</v>
      </c>
      <c r="G232" s="1" t="s">
        <v>43</v>
      </c>
      <c r="H232" s="1" t="s">
        <v>44</v>
      </c>
      <c r="I232" s="1" t="s">
        <v>45</v>
      </c>
      <c r="J232" s="5">
        <v>2023</v>
      </c>
      <c r="K232" s="1">
        <v>1509.85</v>
      </c>
      <c r="L232" s="1">
        <v>660993</v>
      </c>
      <c r="M232" s="1">
        <v>8824</v>
      </c>
      <c r="N232" s="1">
        <v>585</v>
      </c>
      <c r="O232" s="1">
        <v>1321.58</v>
      </c>
      <c r="P232" s="8">
        <f t="shared" si="15"/>
        <v>1.3349611871835254</v>
      </c>
      <c r="Q232" s="10">
        <f t="shared" si="16"/>
        <v>0.14977107887579327</v>
      </c>
      <c r="R232" s="12">
        <f t="shared" si="17"/>
        <v>2.2591111111111108</v>
      </c>
      <c r="S232" s="2">
        <f t="shared" si="18"/>
        <v>1.1424582696469376</v>
      </c>
      <c r="T232" s="18" t="str">
        <f t="shared" si="19"/>
        <v>🔴 Low</v>
      </c>
    </row>
    <row r="233" spans="1:20" x14ac:dyDescent="0.3">
      <c r="A233" s="17">
        <v>232</v>
      </c>
      <c r="B233" s="3" t="s">
        <v>20</v>
      </c>
      <c r="C233" s="3" t="s">
        <v>21</v>
      </c>
      <c r="D233" s="3" t="s">
        <v>22</v>
      </c>
      <c r="E233" s="3" t="s">
        <v>30</v>
      </c>
      <c r="F233" s="3" t="s">
        <v>47</v>
      </c>
      <c r="G233" s="3" t="s">
        <v>57</v>
      </c>
      <c r="H233" s="3" t="s">
        <v>26</v>
      </c>
      <c r="I233" s="3" t="s">
        <v>27</v>
      </c>
      <c r="J233" s="6">
        <v>2023</v>
      </c>
      <c r="K233" s="3">
        <v>10629.16</v>
      </c>
      <c r="L233" s="3">
        <v>471686</v>
      </c>
      <c r="M233" s="3">
        <v>6738</v>
      </c>
      <c r="N233" s="3">
        <v>34</v>
      </c>
      <c r="O233" s="3">
        <v>9482.81</v>
      </c>
      <c r="P233" s="9">
        <f t="shared" si="15"/>
        <v>1.4284926836921172</v>
      </c>
      <c r="Q233" s="11">
        <f t="shared" si="16"/>
        <v>1.4073627189076876</v>
      </c>
      <c r="R233" s="13">
        <f t="shared" si="17"/>
        <v>278.90617647058821</v>
      </c>
      <c r="S233" s="4">
        <f t="shared" si="18"/>
        <v>1.1208871631931885</v>
      </c>
      <c r="T233" s="19" t="str">
        <f t="shared" si="19"/>
        <v>🔴 Low</v>
      </c>
    </row>
    <row r="234" spans="1:20" x14ac:dyDescent="0.3">
      <c r="A234" s="16">
        <v>233</v>
      </c>
      <c r="B234" s="1" t="s">
        <v>35</v>
      </c>
      <c r="C234" s="1" t="s">
        <v>36</v>
      </c>
      <c r="D234" s="1" t="s">
        <v>46</v>
      </c>
      <c r="E234" s="1" t="s">
        <v>56</v>
      </c>
      <c r="F234" s="1" t="s">
        <v>24</v>
      </c>
      <c r="G234" s="1" t="s">
        <v>25</v>
      </c>
      <c r="H234" s="1" t="s">
        <v>33</v>
      </c>
      <c r="I234" s="1" t="s">
        <v>34</v>
      </c>
      <c r="J234" s="5">
        <v>2023</v>
      </c>
      <c r="K234" s="1">
        <v>14749.89</v>
      </c>
      <c r="L234" s="1">
        <v>112402</v>
      </c>
      <c r="M234" s="1">
        <v>3576</v>
      </c>
      <c r="N234" s="1">
        <v>207</v>
      </c>
      <c r="O234" s="1">
        <v>11220.87</v>
      </c>
      <c r="P234" s="8">
        <f t="shared" si="15"/>
        <v>3.1814380527036881</v>
      </c>
      <c r="Q234" s="10">
        <f t="shared" si="16"/>
        <v>3.137827181208054</v>
      </c>
      <c r="R234" s="12">
        <f t="shared" si="17"/>
        <v>54.207101449275363</v>
      </c>
      <c r="S234" s="2">
        <f t="shared" si="18"/>
        <v>1.3145050250114294</v>
      </c>
      <c r="T234" s="18" t="str">
        <f t="shared" si="19"/>
        <v>🟢 High</v>
      </c>
    </row>
    <row r="235" spans="1:20" x14ac:dyDescent="0.3">
      <c r="A235" s="17">
        <v>234</v>
      </c>
      <c r="B235" s="3" t="s">
        <v>55</v>
      </c>
      <c r="C235" s="3" t="s">
        <v>36</v>
      </c>
      <c r="D235" s="3" t="s">
        <v>22</v>
      </c>
      <c r="E235" s="3" t="s">
        <v>61</v>
      </c>
      <c r="F235" s="3" t="s">
        <v>31</v>
      </c>
      <c r="G235" s="3" t="s">
        <v>57</v>
      </c>
      <c r="H235" s="3" t="s">
        <v>79</v>
      </c>
      <c r="I235" s="3" t="s">
        <v>45</v>
      </c>
      <c r="J235" s="6">
        <v>2023</v>
      </c>
      <c r="K235" s="3">
        <v>9081.94</v>
      </c>
      <c r="L235" s="3">
        <v>762524</v>
      </c>
      <c r="M235" s="3">
        <v>23554</v>
      </c>
      <c r="N235" s="3">
        <v>193</v>
      </c>
      <c r="O235" s="3">
        <v>8303.3700000000008</v>
      </c>
      <c r="P235" s="9">
        <f t="shared" si="15"/>
        <v>3.0889519542991435</v>
      </c>
      <c r="Q235" s="11">
        <f t="shared" si="16"/>
        <v>0.35252483654580968</v>
      </c>
      <c r="R235" s="13">
        <f t="shared" si="17"/>
        <v>43.022642487046639</v>
      </c>
      <c r="S235" s="4">
        <f t="shared" si="18"/>
        <v>1.0937655433878051</v>
      </c>
      <c r="T235" s="19" t="str">
        <f t="shared" si="19"/>
        <v>🟢 High</v>
      </c>
    </row>
    <row r="236" spans="1:20" x14ac:dyDescent="0.3">
      <c r="A236" s="16">
        <v>235</v>
      </c>
      <c r="B236" s="1" t="s">
        <v>66</v>
      </c>
      <c r="C236" s="1" t="s">
        <v>40</v>
      </c>
      <c r="D236" s="1" t="s">
        <v>46</v>
      </c>
      <c r="E236" s="1" t="s">
        <v>42</v>
      </c>
      <c r="F236" s="1" t="s">
        <v>24</v>
      </c>
      <c r="G236" s="1" t="s">
        <v>25</v>
      </c>
      <c r="H236" s="1" t="s">
        <v>58</v>
      </c>
      <c r="I236" s="1" t="s">
        <v>27</v>
      </c>
      <c r="J236" s="5">
        <v>2024</v>
      </c>
      <c r="K236" s="1">
        <v>7354.94</v>
      </c>
      <c r="L236" s="1">
        <v>455246</v>
      </c>
      <c r="M236" s="1">
        <v>6791</v>
      </c>
      <c r="N236" s="1">
        <v>384</v>
      </c>
      <c r="O236" s="1">
        <v>4673.21</v>
      </c>
      <c r="P236" s="8">
        <f t="shared" si="15"/>
        <v>1.4917209596569767</v>
      </c>
      <c r="Q236" s="10">
        <f t="shared" si="16"/>
        <v>0.68814754822559265</v>
      </c>
      <c r="R236" s="12">
        <f t="shared" si="17"/>
        <v>12.169817708333333</v>
      </c>
      <c r="S236" s="2">
        <f t="shared" si="18"/>
        <v>1.5738518063600822</v>
      </c>
      <c r="T236" s="18" t="str">
        <f t="shared" si="19"/>
        <v>🔴 Low</v>
      </c>
    </row>
    <row r="237" spans="1:20" x14ac:dyDescent="0.3">
      <c r="A237" s="17">
        <v>236</v>
      </c>
      <c r="B237" s="3" t="s">
        <v>73</v>
      </c>
      <c r="C237" s="3" t="s">
        <v>21</v>
      </c>
      <c r="D237" s="3" t="s">
        <v>22</v>
      </c>
      <c r="E237" s="3" t="s">
        <v>23</v>
      </c>
      <c r="F237" s="3" t="s">
        <v>24</v>
      </c>
      <c r="G237" s="3" t="s">
        <v>32</v>
      </c>
      <c r="H237" s="3" t="s">
        <v>79</v>
      </c>
      <c r="I237" s="3" t="s">
        <v>45</v>
      </c>
      <c r="J237" s="6">
        <v>2023</v>
      </c>
      <c r="K237" s="3">
        <v>15082.95</v>
      </c>
      <c r="L237" s="3">
        <v>314898</v>
      </c>
      <c r="M237" s="3">
        <v>2998</v>
      </c>
      <c r="N237" s="3">
        <v>44</v>
      </c>
      <c r="O237" s="3">
        <v>14015.03</v>
      </c>
      <c r="P237" s="9">
        <f t="shared" si="15"/>
        <v>0.95205431600073676</v>
      </c>
      <c r="Q237" s="11">
        <f t="shared" si="16"/>
        <v>4.6747931954636428</v>
      </c>
      <c r="R237" s="13">
        <f t="shared" si="17"/>
        <v>318.52340909090913</v>
      </c>
      <c r="S237" s="4">
        <f t="shared" si="18"/>
        <v>1.0761981957940867</v>
      </c>
      <c r="T237" s="19" t="str">
        <f t="shared" si="19"/>
        <v>🔴 Low</v>
      </c>
    </row>
    <row r="238" spans="1:20" x14ac:dyDescent="0.3">
      <c r="A238" s="16">
        <v>237</v>
      </c>
      <c r="B238" s="1" t="s">
        <v>89</v>
      </c>
      <c r="C238" s="1" t="s">
        <v>36</v>
      </c>
      <c r="D238" s="1" t="s">
        <v>41</v>
      </c>
      <c r="E238" s="1" t="s">
        <v>42</v>
      </c>
      <c r="F238" s="1" t="s">
        <v>24</v>
      </c>
      <c r="G238" s="1" t="s">
        <v>50</v>
      </c>
      <c r="H238" s="1" t="s">
        <v>44</v>
      </c>
      <c r="I238" s="1" t="s">
        <v>45</v>
      </c>
      <c r="J238" s="5">
        <v>2023</v>
      </c>
      <c r="K238" s="1">
        <v>10801.59</v>
      </c>
      <c r="L238" s="1">
        <v>17653</v>
      </c>
      <c r="M238" s="1">
        <v>699</v>
      </c>
      <c r="N238" s="1">
        <v>49</v>
      </c>
      <c r="O238" s="1">
        <v>10386.18</v>
      </c>
      <c r="P238" s="8">
        <f t="shared" si="15"/>
        <v>3.9596669121395798</v>
      </c>
      <c r="Q238" s="10">
        <f t="shared" si="16"/>
        <v>14.85862660944206</v>
      </c>
      <c r="R238" s="12">
        <f t="shared" si="17"/>
        <v>211.96285714285716</v>
      </c>
      <c r="S238" s="2">
        <f t="shared" si="18"/>
        <v>1.039996418317418</v>
      </c>
      <c r="T238" s="18" t="str">
        <f t="shared" si="19"/>
        <v>🟢 High</v>
      </c>
    </row>
    <row r="239" spans="1:20" x14ac:dyDescent="0.3">
      <c r="A239" s="17">
        <v>238</v>
      </c>
      <c r="B239" s="3" t="s">
        <v>90</v>
      </c>
      <c r="C239" s="3" t="s">
        <v>21</v>
      </c>
      <c r="D239" s="3" t="s">
        <v>13</v>
      </c>
      <c r="E239" s="3" t="s">
        <v>61</v>
      </c>
      <c r="F239" s="3" t="s">
        <v>31</v>
      </c>
      <c r="G239" s="3" t="s">
        <v>25</v>
      </c>
      <c r="H239" s="3" t="s">
        <v>48</v>
      </c>
      <c r="I239" s="3" t="s">
        <v>34</v>
      </c>
      <c r="J239" s="6">
        <v>2023</v>
      </c>
      <c r="K239" s="3">
        <v>825.44</v>
      </c>
      <c r="L239" s="3">
        <v>75813</v>
      </c>
      <c r="M239" s="3">
        <v>457</v>
      </c>
      <c r="N239" s="3">
        <v>23</v>
      </c>
      <c r="O239" s="3">
        <v>570.05999999999995</v>
      </c>
      <c r="P239" s="9">
        <f t="shared" si="15"/>
        <v>0.60279899225726463</v>
      </c>
      <c r="Q239" s="11">
        <f t="shared" si="16"/>
        <v>1.2473960612691466</v>
      </c>
      <c r="R239" s="13">
        <f t="shared" si="17"/>
        <v>24.785217391304347</v>
      </c>
      <c r="S239" s="4">
        <f t="shared" si="18"/>
        <v>1.4479879310949726</v>
      </c>
      <c r="T239" s="19" t="str">
        <f t="shared" si="19"/>
        <v>🔴 Low</v>
      </c>
    </row>
    <row r="240" spans="1:20" x14ac:dyDescent="0.3">
      <c r="A240" s="16">
        <v>239</v>
      </c>
      <c r="B240" s="1" t="s">
        <v>75</v>
      </c>
      <c r="C240" s="1" t="s">
        <v>36</v>
      </c>
      <c r="D240" s="1" t="s">
        <v>29</v>
      </c>
      <c r="E240" s="1" t="s">
        <v>23</v>
      </c>
      <c r="F240" s="1" t="s">
        <v>31</v>
      </c>
      <c r="G240" s="1" t="s">
        <v>32</v>
      </c>
      <c r="H240" s="1" t="s">
        <v>33</v>
      </c>
      <c r="I240" s="1" t="s">
        <v>34</v>
      </c>
      <c r="J240" s="5">
        <v>2024</v>
      </c>
      <c r="K240" s="1">
        <v>14185.31</v>
      </c>
      <c r="L240" s="1">
        <v>91431</v>
      </c>
      <c r="M240" s="1">
        <v>2199</v>
      </c>
      <c r="N240" s="1">
        <v>32</v>
      </c>
      <c r="O240" s="1">
        <v>9009.24</v>
      </c>
      <c r="P240" s="8">
        <f t="shared" si="15"/>
        <v>2.4050923647340618</v>
      </c>
      <c r="Q240" s="10">
        <f t="shared" si="16"/>
        <v>4.0969713506139156</v>
      </c>
      <c r="R240" s="12">
        <f t="shared" si="17"/>
        <v>281.53874999999999</v>
      </c>
      <c r="S240" s="2">
        <f t="shared" si="18"/>
        <v>1.5745290390754381</v>
      </c>
      <c r="T240" s="18" t="str">
        <f t="shared" si="19"/>
        <v>🟡 Mid</v>
      </c>
    </row>
    <row r="241" spans="1:20" x14ac:dyDescent="0.3">
      <c r="A241" s="17">
        <v>240</v>
      </c>
      <c r="B241" s="3" t="s">
        <v>93</v>
      </c>
      <c r="C241" s="3" t="s">
        <v>36</v>
      </c>
      <c r="D241" s="3" t="s">
        <v>46</v>
      </c>
      <c r="E241" s="3" t="s">
        <v>61</v>
      </c>
      <c r="F241" s="3" t="s">
        <v>47</v>
      </c>
      <c r="G241" s="3" t="s">
        <v>50</v>
      </c>
      <c r="H241" s="3" t="s">
        <v>79</v>
      </c>
      <c r="I241" s="3" t="s">
        <v>45</v>
      </c>
      <c r="J241" s="6">
        <v>2023</v>
      </c>
      <c r="K241" s="3">
        <v>6548.31</v>
      </c>
      <c r="L241" s="3">
        <v>463737</v>
      </c>
      <c r="M241" s="3">
        <v>10759</v>
      </c>
      <c r="N241" s="3">
        <v>901</v>
      </c>
      <c r="O241" s="3">
        <v>6257.02</v>
      </c>
      <c r="P241" s="9">
        <f t="shared" si="15"/>
        <v>2.3200650368635669</v>
      </c>
      <c r="Q241" s="11">
        <f t="shared" si="16"/>
        <v>0.58156148340923886</v>
      </c>
      <c r="R241" s="13">
        <f t="shared" si="17"/>
        <v>6.9445283018867929</v>
      </c>
      <c r="S241" s="4">
        <f t="shared" si="18"/>
        <v>1.0465541104231726</v>
      </c>
      <c r="T241" s="19" t="str">
        <f t="shared" si="19"/>
        <v>🟡 Mid</v>
      </c>
    </row>
    <row r="242" spans="1:20" x14ac:dyDescent="0.3">
      <c r="A242" s="16">
        <v>241</v>
      </c>
      <c r="B242" s="1" t="s">
        <v>93</v>
      </c>
      <c r="C242" s="1" t="s">
        <v>36</v>
      </c>
      <c r="D242" s="1" t="s">
        <v>22</v>
      </c>
      <c r="E242" s="1" t="s">
        <v>56</v>
      </c>
      <c r="F242" s="1" t="s">
        <v>24</v>
      </c>
      <c r="G242" s="1" t="s">
        <v>50</v>
      </c>
      <c r="H242" s="1" t="s">
        <v>79</v>
      </c>
      <c r="I242" s="1" t="s">
        <v>45</v>
      </c>
      <c r="J242" s="5">
        <v>2023</v>
      </c>
      <c r="K242" s="1">
        <v>6531.16</v>
      </c>
      <c r="L242" s="1">
        <v>782722</v>
      </c>
      <c r="M242" s="1">
        <v>20587</v>
      </c>
      <c r="N242" s="1">
        <v>106</v>
      </c>
      <c r="O242" s="1">
        <v>4295.08</v>
      </c>
      <c r="P242" s="8">
        <f t="shared" si="15"/>
        <v>2.6301803194493063</v>
      </c>
      <c r="Q242" s="10">
        <f t="shared" si="16"/>
        <v>0.20863068926992762</v>
      </c>
      <c r="R242" s="12">
        <f t="shared" si="17"/>
        <v>40.519622641509436</v>
      </c>
      <c r="S242" s="2">
        <f t="shared" si="18"/>
        <v>1.5206142842508172</v>
      </c>
      <c r="T242" s="18" t="str">
        <f t="shared" si="19"/>
        <v>🟡 Mid</v>
      </c>
    </row>
    <row r="243" spans="1:20" x14ac:dyDescent="0.3">
      <c r="A243" s="17">
        <v>242</v>
      </c>
      <c r="B243" s="3" t="s">
        <v>65</v>
      </c>
      <c r="C243" s="3" t="s">
        <v>36</v>
      </c>
      <c r="D243" s="3" t="s">
        <v>41</v>
      </c>
      <c r="E243" s="3" t="s">
        <v>23</v>
      </c>
      <c r="F243" s="3" t="s">
        <v>31</v>
      </c>
      <c r="G243" s="3" t="s">
        <v>32</v>
      </c>
      <c r="H243" s="3" t="s">
        <v>54</v>
      </c>
      <c r="I243" s="3" t="s">
        <v>45</v>
      </c>
      <c r="J243" s="6">
        <v>2024</v>
      </c>
      <c r="K243" s="3">
        <v>3755.78</v>
      </c>
      <c r="L243" s="3">
        <v>138096</v>
      </c>
      <c r="M243" s="3">
        <v>3507</v>
      </c>
      <c r="N243" s="3">
        <v>420</v>
      </c>
      <c r="O243" s="3">
        <v>3631.29</v>
      </c>
      <c r="P243" s="9">
        <f t="shared" si="15"/>
        <v>2.5395377128953771</v>
      </c>
      <c r="Q243" s="11">
        <f t="shared" si="16"/>
        <v>1.0354405474764756</v>
      </c>
      <c r="R243" s="13">
        <f t="shared" si="17"/>
        <v>8.6459285714285716</v>
      </c>
      <c r="S243" s="4">
        <f t="shared" si="18"/>
        <v>1.0342825827736148</v>
      </c>
      <c r="T243" s="19" t="str">
        <f t="shared" si="19"/>
        <v>🟡 Mid</v>
      </c>
    </row>
    <row r="244" spans="1:20" x14ac:dyDescent="0.3">
      <c r="A244" s="16">
        <v>243</v>
      </c>
      <c r="B244" s="1" t="s">
        <v>20</v>
      </c>
      <c r="C244" s="1" t="s">
        <v>21</v>
      </c>
      <c r="D244" s="1" t="s">
        <v>22</v>
      </c>
      <c r="E244" s="1" t="s">
        <v>23</v>
      </c>
      <c r="F244" s="1" t="s">
        <v>47</v>
      </c>
      <c r="G244" s="1" t="s">
        <v>43</v>
      </c>
      <c r="H244" s="1" t="s">
        <v>81</v>
      </c>
      <c r="I244" s="1" t="s">
        <v>34</v>
      </c>
      <c r="J244" s="5">
        <v>2023</v>
      </c>
      <c r="K244" s="1">
        <v>5627.52</v>
      </c>
      <c r="L244" s="1">
        <v>609663</v>
      </c>
      <c r="M244" s="1">
        <v>1784</v>
      </c>
      <c r="N244" s="1">
        <v>22</v>
      </c>
      <c r="O244" s="1">
        <v>3507.55</v>
      </c>
      <c r="P244" s="8">
        <f t="shared" si="15"/>
        <v>0.29262067732501401</v>
      </c>
      <c r="Q244" s="10">
        <f t="shared" si="16"/>
        <v>1.9661154708520181</v>
      </c>
      <c r="R244" s="12">
        <f t="shared" si="17"/>
        <v>159.43409090909091</v>
      </c>
      <c r="S244" s="2">
        <f t="shared" si="18"/>
        <v>1.604401932973158</v>
      </c>
      <c r="T244" s="18" t="str">
        <f t="shared" si="19"/>
        <v>🔴 Low</v>
      </c>
    </row>
    <row r="245" spans="1:20" x14ac:dyDescent="0.3">
      <c r="A245" s="17">
        <v>244</v>
      </c>
      <c r="B245" s="3" t="s">
        <v>69</v>
      </c>
      <c r="C245" s="3" t="s">
        <v>21</v>
      </c>
      <c r="D245" s="3" t="s">
        <v>13</v>
      </c>
      <c r="E245" s="3" t="s">
        <v>30</v>
      </c>
      <c r="F245" s="3" t="s">
        <v>47</v>
      </c>
      <c r="G245" s="3" t="s">
        <v>57</v>
      </c>
      <c r="H245" s="3" t="s">
        <v>79</v>
      </c>
      <c r="I245" s="3" t="s">
        <v>45</v>
      </c>
      <c r="J245" s="6">
        <v>2023</v>
      </c>
      <c r="K245" s="3">
        <v>4953.8900000000003</v>
      </c>
      <c r="L245" s="3">
        <v>538541</v>
      </c>
      <c r="M245" s="3">
        <v>1505</v>
      </c>
      <c r="N245" s="3">
        <v>75</v>
      </c>
      <c r="O245" s="3">
        <v>4758.95</v>
      </c>
      <c r="P245" s="9">
        <f t="shared" si="15"/>
        <v>0.27945875987157892</v>
      </c>
      <c r="Q245" s="11">
        <f t="shared" si="16"/>
        <v>3.1620930232558138</v>
      </c>
      <c r="R245" s="13">
        <f t="shared" si="17"/>
        <v>63.452666666666666</v>
      </c>
      <c r="S245" s="4">
        <f t="shared" si="18"/>
        <v>1.0409628174282144</v>
      </c>
      <c r="T245" s="19" t="str">
        <f t="shared" si="19"/>
        <v>🔴 Low</v>
      </c>
    </row>
    <row r="246" spans="1:20" x14ac:dyDescent="0.3">
      <c r="A246" s="16">
        <v>245</v>
      </c>
      <c r="B246" s="1" t="s">
        <v>93</v>
      </c>
      <c r="C246" s="1" t="s">
        <v>36</v>
      </c>
      <c r="D246" s="1" t="s">
        <v>22</v>
      </c>
      <c r="E246" s="1" t="s">
        <v>56</v>
      </c>
      <c r="F246" s="1" t="s">
        <v>47</v>
      </c>
      <c r="G246" s="1" t="s">
        <v>50</v>
      </c>
      <c r="H246" s="1" t="s">
        <v>26</v>
      </c>
      <c r="I246" s="1" t="s">
        <v>27</v>
      </c>
      <c r="J246" s="5">
        <v>2023</v>
      </c>
      <c r="K246" s="1">
        <v>18657.62</v>
      </c>
      <c r="L246" s="1">
        <v>42081</v>
      </c>
      <c r="M246" s="1">
        <v>737</v>
      </c>
      <c r="N246" s="1">
        <v>11</v>
      </c>
      <c r="O246" s="1">
        <v>14480.83</v>
      </c>
      <c r="P246" s="8">
        <f t="shared" si="15"/>
        <v>1.751384235165514</v>
      </c>
      <c r="Q246" s="10">
        <f t="shared" si="16"/>
        <v>19.648344640434193</v>
      </c>
      <c r="R246" s="12">
        <f t="shared" si="17"/>
        <v>1316.439090909091</v>
      </c>
      <c r="S246" s="2">
        <f t="shared" si="18"/>
        <v>1.2884358147979087</v>
      </c>
      <c r="T246" s="18" t="str">
        <f t="shared" si="19"/>
        <v>🟡 Mid</v>
      </c>
    </row>
    <row r="247" spans="1:20" x14ac:dyDescent="0.3">
      <c r="A247" s="17">
        <v>246</v>
      </c>
      <c r="B247" s="3" t="s">
        <v>87</v>
      </c>
      <c r="C247" s="3" t="s">
        <v>40</v>
      </c>
      <c r="D247" s="3" t="s">
        <v>41</v>
      </c>
      <c r="E247" s="3" t="s">
        <v>23</v>
      </c>
      <c r="F247" s="3" t="s">
        <v>47</v>
      </c>
      <c r="G247" s="3" t="s">
        <v>57</v>
      </c>
      <c r="H247" s="3" t="s">
        <v>79</v>
      </c>
      <c r="I247" s="3" t="s">
        <v>45</v>
      </c>
      <c r="J247" s="6">
        <v>2024</v>
      </c>
      <c r="K247" s="3">
        <v>2828.32</v>
      </c>
      <c r="L247" s="3">
        <v>711033</v>
      </c>
      <c r="M247" s="3">
        <v>8808</v>
      </c>
      <c r="N247" s="3">
        <v>1164</v>
      </c>
      <c r="O247" s="3">
        <v>1910.03</v>
      </c>
      <c r="P247" s="9">
        <f t="shared" si="15"/>
        <v>1.2387610701613005</v>
      </c>
      <c r="Q247" s="11">
        <f t="shared" si="16"/>
        <v>0.21685172570390554</v>
      </c>
      <c r="R247" s="13">
        <f t="shared" si="17"/>
        <v>1.6409192439862543</v>
      </c>
      <c r="S247" s="4">
        <f t="shared" si="18"/>
        <v>1.480772553310681</v>
      </c>
      <c r="T247" s="19" t="str">
        <f t="shared" si="19"/>
        <v>🔴 Low</v>
      </c>
    </row>
    <row r="248" spans="1:20" x14ac:dyDescent="0.3">
      <c r="A248" s="16">
        <v>247</v>
      </c>
      <c r="B248" s="1" t="s">
        <v>62</v>
      </c>
      <c r="C248" s="1" t="s">
        <v>21</v>
      </c>
      <c r="D248" s="1" t="s">
        <v>41</v>
      </c>
      <c r="E248" s="1" t="s">
        <v>42</v>
      </c>
      <c r="F248" s="1" t="s">
        <v>47</v>
      </c>
      <c r="G248" s="1" t="s">
        <v>43</v>
      </c>
      <c r="H248" s="1" t="s">
        <v>52</v>
      </c>
      <c r="I248" s="1" t="s">
        <v>38</v>
      </c>
      <c r="J248" s="5">
        <v>2024</v>
      </c>
      <c r="K248" s="1">
        <v>2184.52</v>
      </c>
      <c r="L248" s="1">
        <v>483933</v>
      </c>
      <c r="M248" s="1">
        <v>5004</v>
      </c>
      <c r="N248" s="1">
        <v>525</v>
      </c>
      <c r="O248" s="1">
        <v>1589.55</v>
      </c>
      <c r="P248" s="8">
        <f t="shared" si="15"/>
        <v>1.0340274376824892</v>
      </c>
      <c r="Q248" s="10">
        <f t="shared" si="16"/>
        <v>0.31765587529976019</v>
      </c>
      <c r="R248" s="12">
        <f t="shared" si="17"/>
        <v>3.0277142857142856</v>
      </c>
      <c r="S248" s="2">
        <f t="shared" si="18"/>
        <v>1.3743009027712245</v>
      </c>
      <c r="T248" s="18" t="str">
        <f t="shared" si="19"/>
        <v>🔴 Low</v>
      </c>
    </row>
    <row r="249" spans="1:20" x14ac:dyDescent="0.3">
      <c r="A249" s="17">
        <v>248</v>
      </c>
      <c r="B249" s="3" t="s">
        <v>64</v>
      </c>
      <c r="C249" s="3" t="s">
        <v>21</v>
      </c>
      <c r="D249" s="3" t="s">
        <v>41</v>
      </c>
      <c r="E249" s="3" t="s">
        <v>23</v>
      </c>
      <c r="F249" s="3" t="s">
        <v>31</v>
      </c>
      <c r="G249" s="3" t="s">
        <v>50</v>
      </c>
      <c r="H249" s="3" t="s">
        <v>83</v>
      </c>
      <c r="I249" s="3" t="s">
        <v>38</v>
      </c>
      <c r="J249" s="6">
        <v>2023</v>
      </c>
      <c r="K249" s="3">
        <v>3436.04</v>
      </c>
      <c r="L249" s="3">
        <v>434954</v>
      </c>
      <c r="M249" s="3">
        <v>3117</v>
      </c>
      <c r="N249" s="3">
        <v>192</v>
      </c>
      <c r="O249" s="3">
        <v>2843.15</v>
      </c>
      <c r="P249" s="9">
        <f t="shared" si="15"/>
        <v>0.71662750543735665</v>
      </c>
      <c r="Q249" s="11">
        <f t="shared" si="16"/>
        <v>0.91214308630093044</v>
      </c>
      <c r="R249" s="13">
        <f t="shared" si="17"/>
        <v>14.808072916666667</v>
      </c>
      <c r="S249" s="4">
        <f t="shared" si="18"/>
        <v>1.2085327893357718</v>
      </c>
      <c r="T249" s="19" t="str">
        <f t="shared" si="19"/>
        <v>🔴 Low</v>
      </c>
    </row>
    <row r="250" spans="1:20" x14ac:dyDescent="0.3">
      <c r="A250" s="16">
        <v>249</v>
      </c>
      <c r="B250" s="1" t="s">
        <v>62</v>
      </c>
      <c r="C250" s="1" t="s">
        <v>21</v>
      </c>
      <c r="D250" s="1" t="s">
        <v>13</v>
      </c>
      <c r="E250" s="1" t="s">
        <v>42</v>
      </c>
      <c r="F250" s="1" t="s">
        <v>31</v>
      </c>
      <c r="G250" s="1" t="s">
        <v>50</v>
      </c>
      <c r="H250" s="1" t="s">
        <v>54</v>
      </c>
      <c r="I250" s="1" t="s">
        <v>45</v>
      </c>
      <c r="J250" s="5">
        <v>2024</v>
      </c>
      <c r="K250" s="1">
        <v>2527.0100000000002</v>
      </c>
      <c r="L250" s="1">
        <v>560550</v>
      </c>
      <c r="M250" s="1">
        <v>6831</v>
      </c>
      <c r="N250" s="1">
        <v>801</v>
      </c>
      <c r="O250" s="1">
        <v>2548.4299999999998</v>
      </c>
      <c r="P250" s="8">
        <f t="shared" si="15"/>
        <v>1.2186245651592187</v>
      </c>
      <c r="Q250" s="10">
        <f t="shared" si="16"/>
        <v>0.37306836480749522</v>
      </c>
      <c r="R250" s="12">
        <f t="shared" si="17"/>
        <v>3.1815605493133581</v>
      </c>
      <c r="S250" s="2">
        <f t="shared" si="18"/>
        <v>0.99159482504914809</v>
      </c>
      <c r="T250" s="18" t="str">
        <f t="shared" si="19"/>
        <v>🔴 Low</v>
      </c>
    </row>
    <row r="251" spans="1:20" x14ac:dyDescent="0.3">
      <c r="A251" s="17">
        <v>250</v>
      </c>
      <c r="B251" s="3" t="s">
        <v>94</v>
      </c>
      <c r="C251" s="3" t="s">
        <v>36</v>
      </c>
      <c r="D251" s="3" t="s">
        <v>22</v>
      </c>
      <c r="E251" s="3" t="s">
        <v>42</v>
      </c>
      <c r="F251" s="3" t="s">
        <v>24</v>
      </c>
      <c r="G251" s="3" t="s">
        <v>32</v>
      </c>
      <c r="H251" s="3" t="s">
        <v>33</v>
      </c>
      <c r="I251" s="3" t="s">
        <v>34</v>
      </c>
      <c r="J251" s="6">
        <v>2024</v>
      </c>
      <c r="K251" s="3">
        <v>9439.93</v>
      </c>
      <c r="L251" s="3">
        <v>789229</v>
      </c>
      <c r="M251" s="3">
        <v>21662</v>
      </c>
      <c r="N251" s="3">
        <v>135</v>
      </c>
      <c r="O251" s="3">
        <v>6042.9</v>
      </c>
      <c r="P251" s="9">
        <f t="shared" si="15"/>
        <v>2.7447040085957308</v>
      </c>
      <c r="Q251" s="11">
        <f t="shared" si="16"/>
        <v>0.27896316129627918</v>
      </c>
      <c r="R251" s="13">
        <f t="shared" si="17"/>
        <v>44.762222222222221</v>
      </c>
      <c r="S251" s="4">
        <f t="shared" si="18"/>
        <v>1.562152277879826</v>
      </c>
      <c r="T251" s="19" t="str">
        <f t="shared" si="19"/>
        <v>🟡 Mid</v>
      </c>
    </row>
    <row r="252" spans="1:20" x14ac:dyDescent="0.3">
      <c r="A252" s="16">
        <v>251</v>
      </c>
      <c r="B252" s="1" t="s">
        <v>35</v>
      </c>
      <c r="C252" s="1" t="s">
        <v>36</v>
      </c>
      <c r="D252" s="1" t="s">
        <v>22</v>
      </c>
      <c r="E252" s="1" t="s">
        <v>61</v>
      </c>
      <c r="F252" s="1" t="s">
        <v>31</v>
      </c>
      <c r="G252" s="1" t="s">
        <v>57</v>
      </c>
      <c r="H252" s="1" t="s">
        <v>33</v>
      </c>
      <c r="I252" s="1" t="s">
        <v>34</v>
      </c>
      <c r="J252" s="5">
        <v>2023</v>
      </c>
      <c r="K252" s="1">
        <v>5117.05</v>
      </c>
      <c r="L252" s="1">
        <v>278668</v>
      </c>
      <c r="M252" s="1">
        <v>9686</v>
      </c>
      <c r="N252" s="1">
        <v>105</v>
      </c>
      <c r="O252" s="1">
        <v>4858.12</v>
      </c>
      <c r="P252" s="8">
        <f t="shared" si="15"/>
        <v>3.4758206898531587</v>
      </c>
      <c r="Q252" s="10">
        <f t="shared" si="16"/>
        <v>0.50156101589923596</v>
      </c>
      <c r="R252" s="12">
        <f t="shared" si="17"/>
        <v>46.267809523809525</v>
      </c>
      <c r="S252" s="2">
        <f t="shared" si="18"/>
        <v>1.0532983952640116</v>
      </c>
      <c r="T252" s="18" t="str">
        <f t="shared" si="19"/>
        <v>🟢 High</v>
      </c>
    </row>
    <row r="253" spans="1:20" x14ac:dyDescent="0.3">
      <c r="A253" s="17">
        <v>252</v>
      </c>
      <c r="B253" s="3" t="s">
        <v>100</v>
      </c>
      <c r="C253" s="3" t="s">
        <v>40</v>
      </c>
      <c r="D253" s="3" t="s">
        <v>41</v>
      </c>
      <c r="E253" s="3" t="s">
        <v>23</v>
      </c>
      <c r="F253" s="3" t="s">
        <v>24</v>
      </c>
      <c r="G253" s="3" t="s">
        <v>57</v>
      </c>
      <c r="H253" s="3" t="s">
        <v>83</v>
      </c>
      <c r="I253" s="3" t="s">
        <v>38</v>
      </c>
      <c r="J253" s="6">
        <v>2023</v>
      </c>
      <c r="K253" s="3">
        <v>15708.77</v>
      </c>
      <c r="L253" s="3">
        <v>618110</v>
      </c>
      <c r="M253" s="3">
        <v>4207</v>
      </c>
      <c r="N253" s="3">
        <v>289</v>
      </c>
      <c r="O253" s="3">
        <v>10122.36</v>
      </c>
      <c r="P253" s="9">
        <f t="shared" si="15"/>
        <v>0.68062319004707905</v>
      </c>
      <c r="Q253" s="11">
        <f t="shared" si="16"/>
        <v>2.4060755883052058</v>
      </c>
      <c r="R253" s="13">
        <f t="shared" si="17"/>
        <v>35.025467128027685</v>
      </c>
      <c r="S253" s="4">
        <f t="shared" si="18"/>
        <v>1.5518880972421452</v>
      </c>
      <c r="T253" s="19" t="str">
        <f t="shared" si="19"/>
        <v>🔴 Low</v>
      </c>
    </row>
    <row r="254" spans="1:20" x14ac:dyDescent="0.3">
      <c r="A254" s="16">
        <v>253</v>
      </c>
      <c r="B254" s="1" t="s">
        <v>67</v>
      </c>
      <c r="C254" s="1" t="s">
        <v>40</v>
      </c>
      <c r="D254" s="1" t="s">
        <v>13</v>
      </c>
      <c r="E254" s="1" t="s">
        <v>56</v>
      </c>
      <c r="F254" s="1" t="s">
        <v>24</v>
      </c>
      <c r="G254" s="1" t="s">
        <v>32</v>
      </c>
      <c r="H254" s="1" t="s">
        <v>37</v>
      </c>
      <c r="I254" s="1" t="s">
        <v>38</v>
      </c>
      <c r="J254" s="5">
        <v>2023</v>
      </c>
      <c r="K254" s="1">
        <v>9312.3799999999992</v>
      </c>
      <c r="L254" s="1">
        <v>490854</v>
      </c>
      <c r="M254" s="1">
        <v>7736</v>
      </c>
      <c r="N254" s="1">
        <v>472</v>
      </c>
      <c r="O254" s="1">
        <v>8270.73</v>
      </c>
      <c r="P254" s="8">
        <f t="shared" si="15"/>
        <v>1.5760287172967931</v>
      </c>
      <c r="Q254" s="10">
        <f t="shared" si="16"/>
        <v>1.0691222854188211</v>
      </c>
      <c r="R254" s="12">
        <f t="shared" si="17"/>
        <v>17.522733050847457</v>
      </c>
      <c r="S254" s="2">
        <f t="shared" si="18"/>
        <v>1.1259441427782069</v>
      </c>
      <c r="T254" s="18" t="str">
        <f t="shared" si="19"/>
        <v>🟡 Mid</v>
      </c>
    </row>
    <row r="255" spans="1:20" x14ac:dyDescent="0.3">
      <c r="A255" s="17">
        <v>254</v>
      </c>
      <c r="B255" s="3" t="s">
        <v>28</v>
      </c>
      <c r="C255" s="3" t="s">
        <v>21</v>
      </c>
      <c r="D255" s="3" t="s">
        <v>46</v>
      </c>
      <c r="E255" s="3" t="s">
        <v>23</v>
      </c>
      <c r="F255" s="3" t="s">
        <v>24</v>
      </c>
      <c r="G255" s="3" t="s">
        <v>57</v>
      </c>
      <c r="H255" s="3" t="s">
        <v>54</v>
      </c>
      <c r="I255" s="3" t="s">
        <v>45</v>
      </c>
      <c r="J255" s="6">
        <v>2023</v>
      </c>
      <c r="K255" s="3">
        <v>19383.8</v>
      </c>
      <c r="L255" s="3">
        <v>420492</v>
      </c>
      <c r="M255" s="3">
        <v>4001</v>
      </c>
      <c r="N255" s="3">
        <v>283</v>
      </c>
      <c r="O255" s="3">
        <v>17143.36</v>
      </c>
      <c r="P255" s="9">
        <f t="shared" si="15"/>
        <v>0.9515044281460765</v>
      </c>
      <c r="Q255" s="11">
        <f t="shared" si="16"/>
        <v>4.2847688077980504</v>
      </c>
      <c r="R255" s="13">
        <f t="shared" si="17"/>
        <v>60.577243816254416</v>
      </c>
      <c r="S255" s="4">
        <f t="shared" si="18"/>
        <v>1.1306884998040057</v>
      </c>
      <c r="T255" s="19" t="str">
        <f t="shared" si="19"/>
        <v>🔴 Low</v>
      </c>
    </row>
    <row r="256" spans="1:20" x14ac:dyDescent="0.3">
      <c r="A256" s="16">
        <v>255</v>
      </c>
      <c r="B256" s="1" t="s">
        <v>102</v>
      </c>
      <c r="C256" s="1" t="s">
        <v>40</v>
      </c>
      <c r="D256" s="1" t="s">
        <v>22</v>
      </c>
      <c r="E256" s="1" t="s">
        <v>56</v>
      </c>
      <c r="F256" s="1" t="s">
        <v>47</v>
      </c>
      <c r="G256" s="1" t="s">
        <v>32</v>
      </c>
      <c r="H256" s="1" t="s">
        <v>54</v>
      </c>
      <c r="I256" s="1" t="s">
        <v>45</v>
      </c>
      <c r="J256" s="5">
        <v>2023</v>
      </c>
      <c r="K256" s="1">
        <v>2347.14</v>
      </c>
      <c r="L256" s="1">
        <v>111857</v>
      </c>
      <c r="M256" s="1">
        <v>1891</v>
      </c>
      <c r="N256" s="1">
        <v>9</v>
      </c>
      <c r="O256" s="1">
        <v>2226.86</v>
      </c>
      <c r="P256" s="8">
        <f t="shared" si="15"/>
        <v>1.6905513289289003</v>
      </c>
      <c r="Q256" s="10">
        <f t="shared" si="16"/>
        <v>1.1776097303014279</v>
      </c>
      <c r="R256" s="12">
        <f t="shared" si="17"/>
        <v>247.42888888888891</v>
      </c>
      <c r="S256" s="2">
        <f t="shared" si="18"/>
        <v>1.0540132742965429</v>
      </c>
      <c r="T256" s="18" t="str">
        <f t="shared" si="19"/>
        <v>🟡 Mid</v>
      </c>
    </row>
    <row r="257" spans="1:20" x14ac:dyDescent="0.3">
      <c r="A257" s="17">
        <v>256</v>
      </c>
      <c r="B257" s="3" t="s">
        <v>65</v>
      </c>
      <c r="C257" s="3" t="s">
        <v>36</v>
      </c>
      <c r="D257" s="3" t="s">
        <v>46</v>
      </c>
      <c r="E257" s="3" t="s">
        <v>56</v>
      </c>
      <c r="F257" s="3" t="s">
        <v>47</v>
      </c>
      <c r="G257" s="3" t="s">
        <v>57</v>
      </c>
      <c r="H257" s="3" t="s">
        <v>79</v>
      </c>
      <c r="I257" s="3" t="s">
        <v>45</v>
      </c>
      <c r="J257" s="6">
        <v>2024</v>
      </c>
      <c r="K257" s="3">
        <v>18389.86</v>
      </c>
      <c r="L257" s="3">
        <v>83629</v>
      </c>
      <c r="M257" s="3">
        <v>2125</v>
      </c>
      <c r="N257" s="3">
        <v>87</v>
      </c>
      <c r="O257" s="3">
        <v>11531.88</v>
      </c>
      <c r="P257" s="9">
        <f t="shared" si="15"/>
        <v>2.5409845866864367</v>
      </c>
      <c r="Q257" s="11">
        <f t="shared" si="16"/>
        <v>5.4267670588235291</v>
      </c>
      <c r="R257" s="13">
        <f t="shared" si="17"/>
        <v>132.5503448275862</v>
      </c>
      <c r="S257" s="4">
        <f t="shared" si="18"/>
        <v>1.5946974821104627</v>
      </c>
      <c r="T257" s="19" t="str">
        <f t="shared" si="19"/>
        <v>🟡 Mid</v>
      </c>
    </row>
    <row r="258" spans="1:20" x14ac:dyDescent="0.3">
      <c r="A258" s="16">
        <v>257</v>
      </c>
      <c r="B258" s="1" t="s">
        <v>53</v>
      </c>
      <c r="C258" s="1" t="s">
        <v>21</v>
      </c>
      <c r="D258" s="1" t="s">
        <v>46</v>
      </c>
      <c r="E258" s="1" t="s">
        <v>42</v>
      </c>
      <c r="F258" s="1" t="s">
        <v>47</v>
      </c>
      <c r="G258" s="1" t="s">
        <v>57</v>
      </c>
      <c r="H258" s="1" t="s">
        <v>68</v>
      </c>
      <c r="I258" s="1" t="s">
        <v>27</v>
      </c>
      <c r="J258" s="5">
        <v>2024</v>
      </c>
      <c r="K258" s="1">
        <v>1487.44</v>
      </c>
      <c r="L258" s="1">
        <v>606761</v>
      </c>
      <c r="M258" s="1">
        <v>303</v>
      </c>
      <c r="N258" s="1">
        <v>21</v>
      </c>
      <c r="O258" s="1">
        <v>1131.56</v>
      </c>
      <c r="P258" s="8">
        <f t="shared" ref="P258:P321" si="20">IFERROR(M258/L258*100,0)</f>
        <v>4.9937289970845192E-2</v>
      </c>
      <c r="Q258" s="10">
        <f t="shared" ref="Q258:Q321" si="21">IFERROR(O258/M258,0)</f>
        <v>3.7345214521452141</v>
      </c>
      <c r="R258" s="12">
        <f t="shared" ref="R258:R321" si="22">IFERROR(O258/N258,"-")</f>
        <v>53.883809523809518</v>
      </c>
      <c r="S258" s="2">
        <f t="shared" ref="S258:S321" si="23">IFERROR(K258/O258,0)</f>
        <v>1.3145038707624872</v>
      </c>
      <c r="T258" s="18" t="str">
        <f t="shared" ref="T258:T321" si="24">IF(P258&gt;=3,"🟢 High",IF(P258&gt;=1.5,"🟡 Mid","🔴 Low"))</f>
        <v>🔴 Low</v>
      </c>
    </row>
    <row r="259" spans="1:20" x14ac:dyDescent="0.3">
      <c r="A259" s="17">
        <v>258</v>
      </c>
      <c r="B259" s="3" t="s">
        <v>92</v>
      </c>
      <c r="C259" s="3" t="s">
        <v>40</v>
      </c>
      <c r="D259" s="3" t="s">
        <v>13</v>
      </c>
      <c r="E259" s="3" t="s">
        <v>30</v>
      </c>
      <c r="F259" s="3" t="s">
        <v>24</v>
      </c>
      <c r="G259" s="3" t="s">
        <v>43</v>
      </c>
      <c r="H259" s="3" t="s">
        <v>52</v>
      </c>
      <c r="I259" s="3" t="s">
        <v>38</v>
      </c>
      <c r="J259" s="6">
        <v>2024</v>
      </c>
      <c r="K259" s="3">
        <v>17726.759999999998</v>
      </c>
      <c r="L259" s="3">
        <v>41332</v>
      </c>
      <c r="M259" s="3">
        <v>796</v>
      </c>
      <c r="N259" s="3">
        <v>74</v>
      </c>
      <c r="O259" s="3">
        <v>15229.6</v>
      </c>
      <c r="P259" s="9">
        <f t="shared" si="20"/>
        <v>1.9258685764056906</v>
      </c>
      <c r="Q259" s="11">
        <f t="shared" si="21"/>
        <v>19.132663316582914</v>
      </c>
      <c r="R259" s="13">
        <f t="shared" si="22"/>
        <v>205.80540540540542</v>
      </c>
      <c r="S259" s="4">
        <f t="shared" si="23"/>
        <v>1.1639675369018225</v>
      </c>
      <c r="T259" s="19" t="str">
        <f t="shared" si="24"/>
        <v>🟡 Mid</v>
      </c>
    </row>
    <row r="260" spans="1:20" x14ac:dyDescent="0.3">
      <c r="A260" s="16">
        <v>259</v>
      </c>
      <c r="B260" s="1" t="s">
        <v>73</v>
      </c>
      <c r="C260" s="1" t="s">
        <v>21</v>
      </c>
      <c r="D260" s="1" t="s">
        <v>41</v>
      </c>
      <c r="E260" s="1" t="s">
        <v>56</v>
      </c>
      <c r="F260" s="1" t="s">
        <v>31</v>
      </c>
      <c r="G260" s="1" t="s">
        <v>50</v>
      </c>
      <c r="H260" s="1" t="s">
        <v>68</v>
      </c>
      <c r="I260" s="1" t="s">
        <v>27</v>
      </c>
      <c r="J260" s="5">
        <v>2023</v>
      </c>
      <c r="K260" s="1">
        <v>5955.63</v>
      </c>
      <c r="L260" s="1">
        <v>148902</v>
      </c>
      <c r="M260" s="1">
        <v>108</v>
      </c>
      <c r="N260" s="1">
        <v>13</v>
      </c>
      <c r="O260" s="1">
        <v>4196.59</v>
      </c>
      <c r="P260" s="8">
        <f t="shared" si="20"/>
        <v>7.2530926381109723E-2</v>
      </c>
      <c r="Q260" s="10">
        <f t="shared" si="21"/>
        <v>38.857314814814814</v>
      </c>
      <c r="R260" s="12">
        <f t="shared" si="22"/>
        <v>322.81461538461542</v>
      </c>
      <c r="S260" s="2">
        <f t="shared" si="23"/>
        <v>1.4191593651035721</v>
      </c>
      <c r="T260" s="18" t="str">
        <f t="shared" si="24"/>
        <v>🔴 Low</v>
      </c>
    </row>
    <row r="261" spans="1:20" x14ac:dyDescent="0.3">
      <c r="A261" s="17">
        <v>260</v>
      </c>
      <c r="B261" s="3" t="s">
        <v>62</v>
      </c>
      <c r="C261" s="3" t="s">
        <v>21</v>
      </c>
      <c r="D261" s="3" t="s">
        <v>41</v>
      </c>
      <c r="E261" s="3" t="s">
        <v>23</v>
      </c>
      <c r="F261" s="3" t="s">
        <v>47</v>
      </c>
      <c r="G261" s="3" t="s">
        <v>32</v>
      </c>
      <c r="H261" s="3" t="s">
        <v>48</v>
      </c>
      <c r="I261" s="3" t="s">
        <v>34</v>
      </c>
      <c r="J261" s="6">
        <v>2024</v>
      </c>
      <c r="K261" s="3">
        <v>18297.2</v>
      </c>
      <c r="L261" s="3">
        <v>531797</v>
      </c>
      <c r="M261" s="3">
        <v>5576</v>
      </c>
      <c r="N261" s="3">
        <v>478</v>
      </c>
      <c r="O261" s="3">
        <v>13056.57</v>
      </c>
      <c r="P261" s="9">
        <f t="shared" si="20"/>
        <v>1.0485203940601395</v>
      </c>
      <c r="Q261" s="11">
        <f t="shared" si="21"/>
        <v>2.3415656384505019</v>
      </c>
      <c r="R261" s="13">
        <f t="shared" si="22"/>
        <v>27.314999999999998</v>
      </c>
      <c r="S261" s="4">
        <f t="shared" si="23"/>
        <v>1.401378769462424</v>
      </c>
      <c r="T261" s="19" t="str">
        <f t="shared" si="24"/>
        <v>🔴 Low</v>
      </c>
    </row>
    <row r="262" spans="1:20" x14ac:dyDescent="0.3">
      <c r="A262" s="16">
        <v>261</v>
      </c>
      <c r="B262" s="1" t="s">
        <v>72</v>
      </c>
      <c r="C262" s="1" t="s">
        <v>36</v>
      </c>
      <c r="D262" s="1" t="s">
        <v>29</v>
      </c>
      <c r="E262" s="1" t="s">
        <v>30</v>
      </c>
      <c r="F262" s="1" t="s">
        <v>24</v>
      </c>
      <c r="G262" s="1" t="s">
        <v>43</v>
      </c>
      <c r="H262" s="1" t="s">
        <v>68</v>
      </c>
      <c r="I262" s="1" t="s">
        <v>27</v>
      </c>
      <c r="J262" s="5">
        <v>2024</v>
      </c>
      <c r="K262" s="1">
        <v>10823.93</v>
      </c>
      <c r="L262" s="1">
        <v>617356</v>
      </c>
      <c r="M262" s="1">
        <v>25624</v>
      </c>
      <c r="N262" s="1">
        <v>333</v>
      </c>
      <c r="O262" s="1">
        <v>9480.5</v>
      </c>
      <c r="P262" s="8">
        <f t="shared" si="20"/>
        <v>4.1506035415546298</v>
      </c>
      <c r="Q262" s="10">
        <f t="shared" si="21"/>
        <v>0.3699851701529816</v>
      </c>
      <c r="R262" s="12">
        <f t="shared" si="22"/>
        <v>28.46996996996997</v>
      </c>
      <c r="S262" s="2">
        <f t="shared" si="23"/>
        <v>1.1417045514477084</v>
      </c>
      <c r="T262" s="18" t="str">
        <f t="shared" si="24"/>
        <v>🟢 High</v>
      </c>
    </row>
    <row r="263" spans="1:20" x14ac:dyDescent="0.3">
      <c r="A263" s="17">
        <v>262</v>
      </c>
      <c r="B263" s="3" t="s">
        <v>51</v>
      </c>
      <c r="C263" s="3" t="s">
        <v>40</v>
      </c>
      <c r="D263" s="3" t="s">
        <v>46</v>
      </c>
      <c r="E263" s="3" t="s">
        <v>61</v>
      </c>
      <c r="F263" s="3" t="s">
        <v>47</v>
      </c>
      <c r="G263" s="3" t="s">
        <v>43</v>
      </c>
      <c r="H263" s="3" t="s">
        <v>26</v>
      </c>
      <c r="I263" s="3" t="s">
        <v>27</v>
      </c>
      <c r="J263" s="6">
        <v>2023</v>
      </c>
      <c r="K263" s="3">
        <v>5112.75</v>
      </c>
      <c r="L263" s="3">
        <v>338451</v>
      </c>
      <c r="M263" s="3">
        <v>5403</v>
      </c>
      <c r="N263" s="3">
        <v>477</v>
      </c>
      <c r="O263" s="3">
        <v>4565.7</v>
      </c>
      <c r="P263" s="9">
        <f t="shared" si="20"/>
        <v>1.5963906148895999</v>
      </c>
      <c r="Q263" s="11">
        <f t="shared" si="21"/>
        <v>0.84503053858967236</v>
      </c>
      <c r="R263" s="13">
        <f t="shared" si="22"/>
        <v>9.571698113207546</v>
      </c>
      <c r="S263" s="4">
        <f t="shared" si="23"/>
        <v>1.1198173335961628</v>
      </c>
      <c r="T263" s="19" t="str">
        <f t="shared" si="24"/>
        <v>🟡 Mid</v>
      </c>
    </row>
    <row r="264" spans="1:20" x14ac:dyDescent="0.3">
      <c r="A264" s="16">
        <v>263</v>
      </c>
      <c r="B264" s="1" t="s">
        <v>28</v>
      </c>
      <c r="C264" s="1" t="s">
        <v>21</v>
      </c>
      <c r="D264" s="1" t="s">
        <v>13</v>
      </c>
      <c r="E264" s="1" t="s">
        <v>61</v>
      </c>
      <c r="F264" s="1" t="s">
        <v>31</v>
      </c>
      <c r="G264" s="1" t="s">
        <v>25</v>
      </c>
      <c r="H264" s="1" t="s">
        <v>79</v>
      </c>
      <c r="I264" s="1" t="s">
        <v>45</v>
      </c>
      <c r="J264" s="5">
        <v>2023</v>
      </c>
      <c r="K264" s="1">
        <v>16815.59</v>
      </c>
      <c r="L264" s="1">
        <v>521137</v>
      </c>
      <c r="M264" s="1">
        <v>2085</v>
      </c>
      <c r="N264" s="1">
        <v>109</v>
      </c>
      <c r="O264" s="1">
        <v>10486.04</v>
      </c>
      <c r="P264" s="8">
        <f t="shared" si="20"/>
        <v>0.40008673343094037</v>
      </c>
      <c r="Q264" s="10">
        <f t="shared" si="21"/>
        <v>5.0292757793764995</v>
      </c>
      <c r="R264" s="12">
        <f t="shared" si="22"/>
        <v>96.202201834862393</v>
      </c>
      <c r="S264" s="2">
        <f t="shared" si="23"/>
        <v>1.6036168086331921</v>
      </c>
      <c r="T264" s="18" t="str">
        <f t="shared" si="24"/>
        <v>🔴 Low</v>
      </c>
    </row>
    <row r="265" spans="1:20" x14ac:dyDescent="0.3">
      <c r="A265" s="17">
        <v>264</v>
      </c>
      <c r="B265" s="3" t="s">
        <v>64</v>
      </c>
      <c r="C265" s="3" t="s">
        <v>21</v>
      </c>
      <c r="D265" s="3" t="s">
        <v>22</v>
      </c>
      <c r="E265" s="3" t="s">
        <v>61</v>
      </c>
      <c r="F265" s="3" t="s">
        <v>47</v>
      </c>
      <c r="G265" s="3" t="s">
        <v>57</v>
      </c>
      <c r="H265" s="3" t="s">
        <v>37</v>
      </c>
      <c r="I265" s="3" t="s">
        <v>38</v>
      </c>
      <c r="J265" s="6">
        <v>2023</v>
      </c>
      <c r="K265" s="3">
        <v>16225.69</v>
      </c>
      <c r="L265" s="3">
        <v>362311</v>
      </c>
      <c r="M265" s="3">
        <v>2241</v>
      </c>
      <c r="N265" s="3">
        <v>35</v>
      </c>
      <c r="O265" s="3">
        <v>15996.71</v>
      </c>
      <c r="P265" s="9">
        <f t="shared" si="20"/>
        <v>0.61852938497589083</v>
      </c>
      <c r="Q265" s="11">
        <f t="shared" si="21"/>
        <v>7.138201695671575</v>
      </c>
      <c r="R265" s="13">
        <f t="shared" si="22"/>
        <v>457.04885714285712</v>
      </c>
      <c r="S265" s="4">
        <f t="shared" si="23"/>
        <v>1.0143141933560089</v>
      </c>
      <c r="T265" s="19" t="str">
        <f t="shared" si="24"/>
        <v>🔴 Low</v>
      </c>
    </row>
    <row r="266" spans="1:20" x14ac:dyDescent="0.3">
      <c r="A266" s="16">
        <v>265</v>
      </c>
      <c r="B266" s="1" t="s">
        <v>60</v>
      </c>
      <c r="C266" s="1" t="s">
        <v>40</v>
      </c>
      <c r="D266" s="1" t="s">
        <v>22</v>
      </c>
      <c r="E266" s="1" t="s">
        <v>30</v>
      </c>
      <c r="F266" s="1" t="s">
        <v>31</v>
      </c>
      <c r="G266" s="1" t="s">
        <v>25</v>
      </c>
      <c r="H266" s="1" t="s">
        <v>58</v>
      </c>
      <c r="I266" s="1" t="s">
        <v>27</v>
      </c>
      <c r="J266" s="5">
        <v>2024</v>
      </c>
      <c r="K266" s="1">
        <v>19230.900000000001</v>
      </c>
      <c r="L266" s="1">
        <v>396738</v>
      </c>
      <c r="M266" s="1">
        <v>5524</v>
      </c>
      <c r="N266" s="1">
        <v>76</v>
      </c>
      <c r="O266" s="1">
        <v>14256.94</v>
      </c>
      <c r="P266" s="8">
        <f t="shared" si="20"/>
        <v>1.3923546521885981</v>
      </c>
      <c r="Q266" s="10">
        <f t="shared" si="21"/>
        <v>2.5809087617668358</v>
      </c>
      <c r="R266" s="12">
        <f t="shared" si="22"/>
        <v>187.5913157894737</v>
      </c>
      <c r="S266" s="2">
        <f t="shared" si="23"/>
        <v>1.3488799139226231</v>
      </c>
      <c r="T266" s="18" t="str">
        <f t="shared" si="24"/>
        <v>🔴 Low</v>
      </c>
    </row>
    <row r="267" spans="1:20" x14ac:dyDescent="0.3">
      <c r="A267" s="17">
        <v>266</v>
      </c>
      <c r="B267" s="3" t="s">
        <v>92</v>
      </c>
      <c r="C267" s="3" t="s">
        <v>40</v>
      </c>
      <c r="D267" s="3" t="s">
        <v>46</v>
      </c>
      <c r="E267" s="3" t="s">
        <v>56</v>
      </c>
      <c r="F267" s="3" t="s">
        <v>31</v>
      </c>
      <c r="G267" s="3" t="s">
        <v>50</v>
      </c>
      <c r="H267" s="3" t="s">
        <v>44</v>
      </c>
      <c r="I267" s="3" t="s">
        <v>45</v>
      </c>
      <c r="J267" s="6">
        <v>2024</v>
      </c>
      <c r="K267" s="3">
        <v>3896.95</v>
      </c>
      <c r="L267" s="3">
        <v>594275</v>
      </c>
      <c r="M267" s="3">
        <v>5308</v>
      </c>
      <c r="N267" s="3">
        <v>433</v>
      </c>
      <c r="O267" s="3">
        <v>3858.43</v>
      </c>
      <c r="P267" s="9">
        <f t="shared" si="20"/>
        <v>0.89318918009339099</v>
      </c>
      <c r="Q267" s="11">
        <f t="shared" si="21"/>
        <v>0.72690844009042954</v>
      </c>
      <c r="R267" s="13">
        <f t="shared" si="22"/>
        <v>8.9109237875288674</v>
      </c>
      <c r="S267" s="4">
        <f t="shared" si="23"/>
        <v>1.0099833351907381</v>
      </c>
      <c r="T267" s="19" t="str">
        <f t="shared" si="24"/>
        <v>🔴 Low</v>
      </c>
    </row>
    <row r="268" spans="1:20" x14ac:dyDescent="0.3">
      <c r="A268" s="16">
        <v>267</v>
      </c>
      <c r="B268" s="1" t="s">
        <v>87</v>
      </c>
      <c r="C268" s="1" t="s">
        <v>40</v>
      </c>
      <c r="D268" s="1" t="s">
        <v>29</v>
      </c>
      <c r="E268" s="1" t="s">
        <v>30</v>
      </c>
      <c r="F268" s="1" t="s">
        <v>47</v>
      </c>
      <c r="G268" s="1" t="s">
        <v>43</v>
      </c>
      <c r="H268" s="1" t="s">
        <v>54</v>
      </c>
      <c r="I268" s="1" t="s">
        <v>45</v>
      </c>
      <c r="J268" s="5">
        <v>2024</v>
      </c>
      <c r="K268" s="1">
        <v>2983.29</v>
      </c>
      <c r="L268" s="1">
        <v>769234</v>
      </c>
      <c r="M268" s="1">
        <v>18292</v>
      </c>
      <c r="N268" s="1">
        <v>497</v>
      </c>
      <c r="O268" s="1">
        <v>2855.96</v>
      </c>
      <c r="P268" s="8">
        <f t="shared" si="20"/>
        <v>2.3779500126099471</v>
      </c>
      <c r="Q268" s="10">
        <f t="shared" si="21"/>
        <v>0.15613164224797726</v>
      </c>
      <c r="R268" s="12">
        <f t="shared" si="22"/>
        <v>5.7463983903420521</v>
      </c>
      <c r="S268" s="2">
        <f t="shared" si="23"/>
        <v>1.0445839577585121</v>
      </c>
      <c r="T268" s="18" t="str">
        <f t="shared" si="24"/>
        <v>🟡 Mid</v>
      </c>
    </row>
    <row r="269" spans="1:20" x14ac:dyDescent="0.3">
      <c r="A269" s="17">
        <v>268</v>
      </c>
      <c r="B269" s="3" t="s">
        <v>28</v>
      </c>
      <c r="C269" s="3" t="s">
        <v>21</v>
      </c>
      <c r="D269" s="3" t="s">
        <v>46</v>
      </c>
      <c r="E269" s="3" t="s">
        <v>61</v>
      </c>
      <c r="F269" s="3" t="s">
        <v>47</v>
      </c>
      <c r="G269" s="3" t="s">
        <v>32</v>
      </c>
      <c r="H269" s="3" t="s">
        <v>83</v>
      </c>
      <c r="I269" s="3" t="s">
        <v>38</v>
      </c>
      <c r="J269" s="6">
        <v>2023</v>
      </c>
      <c r="K269" s="3">
        <v>18765.41</v>
      </c>
      <c r="L269" s="3">
        <v>152475</v>
      </c>
      <c r="M269" s="3">
        <v>1080</v>
      </c>
      <c r="N269" s="3">
        <v>64</v>
      </c>
      <c r="O269" s="3">
        <v>11872.48</v>
      </c>
      <c r="P269" s="9">
        <f t="shared" si="20"/>
        <v>0.70831283817019186</v>
      </c>
      <c r="Q269" s="11">
        <f t="shared" si="21"/>
        <v>10.993037037037036</v>
      </c>
      <c r="R269" s="13">
        <f t="shared" si="22"/>
        <v>185.50749999999999</v>
      </c>
      <c r="S269" s="4">
        <f t="shared" si="23"/>
        <v>1.580580468444672</v>
      </c>
      <c r="T269" s="19" t="str">
        <f t="shared" si="24"/>
        <v>🔴 Low</v>
      </c>
    </row>
    <row r="270" spans="1:20" x14ac:dyDescent="0.3">
      <c r="A270" s="16">
        <v>269</v>
      </c>
      <c r="B270" s="1" t="s">
        <v>100</v>
      </c>
      <c r="C270" s="1" t="s">
        <v>40</v>
      </c>
      <c r="D270" s="1" t="s">
        <v>46</v>
      </c>
      <c r="E270" s="1" t="s">
        <v>42</v>
      </c>
      <c r="F270" s="1" t="s">
        <v>31</v>
      </c>
      <c r="G270" s="1" t="s">
        <v>43</v>
      </c>
      <c r="H270" s="1" t="s">
        <v>48</v>
      </c>
      <c r="I270" s="1" t="s">
        <v>34</v>
      </c>
      <c r="J270" s="5">
        <v>2023</v>
      </c>
      <c r="K270" s="1">
        <v>5671.64</v>
      </c>
      <c r="L270" s="1">
        <v>266662</v>
      </c>
      <c r="M270" s="1">
        <v>3833</v>
      </c>
      <c r="N270" s="1">
        <v>334</v>
      </c>
      <c r="O270" s="1">
        <v>5119.07</v>
      </c>
      <c r="P270" s="8">
        <f t="shared" si="20"/>
        <v>1.4374001545027038</v>
      </c>
      <c r="Q270" s="10">
        <f t="shared" si="21"/>
        <v>1.3355256978867727</v>
      </c>
      <c r="R270" s="12">
        <f t="shared" si="22"/>
        <v>15.326556886227545</v>
      </c>
      <c r="S270" s="2">
        <f t="shared" si="23"/>
        <v>1.1079434350380051</v>
      </c>
      <c r="T270" s="18" t="str">
        <f t="shared" si="24"/>
        <v>🔴 Low</v>
      </c>
    </row>
    <row r="271" spans="1:20" x14ac:dyDescent="0.3">
      <c r="A271" s="17">
        <v>270</v>
      </c>
      <c r="B271" s="3" t="s">
        <v>75</v>
      </c>
      <c r="C271" s="3" t="s">
        <v>36</v>
      </c>
      <c r="D271" s="3" t="s">
        <v>41</v>
      </c>
      <c r="E271" s="3" t="s">
        <v>56</v>
      </c>
      <c r="F271" s="3" t="s">
        <v>24</v>
      </c>
      <c r="G271" s="3" t="s">
        <v>50</v>
      </c>
      <c r="H271" s="3" t="s">
        <v>48</v>
      </c>
      <c r="I271" s="3" t="s">
        <v>34</v>
      </c>
      <c r="J271" s="6">
        <v>2024</v>
      </c>
      <c r="K271" s="3">
        <v>7349.01</v>
      </c>
      <c r="L271" s="3">
        <v>398580</v>
      </c>
      <c r="M271" s="3">
        <v>9425</v>
      </c>
      <c r="N271" s="3">
        <v>641</v>
      </c>
      <c r="O271" s="3">
        <v>5889.39</v>
      </c>
      <c r="P271" s="9">
        <f t="shared" si="20"/>
        <v>2.3646444879321589</v>
      </c>
      <c r="Q271" s="11">
        <f t="shared" si="21"/>
        <v>0.62486896551724136</v>
      </c>
      <c r="R271" s="13">
        <f t="shared" si="22"/>
        <v>9.1878159126365055</v>
      </c>
      <c r="S271" s="4">
        <f t="shared" si="23"/>
        <v>1.2478389103115941</v>
      </c>
      <c r="T271" s="19" t="str">
        <f t="shared" si="24"/>
        <v>🟡 Mid</v>
      </c>
    </row>
    <row r="272" spans="1:20" x14ac:dyDescent="0.3">
      <c r="A272" s="16">
        <v>271</v>
      </c>
      <c r="B272" s="1" t="s">
        <v>64</v>
      </c>
      <c r="C272" s="1" t="s">
        <v>21</v>
      </c>
      <c r="D272" s="1" t="s">
        <v>46</v>
      </c>
      <c r="E272" s="1" t="s">
        <v>56</v>
      </c>
      <c r="F272" s="1" t="s">
        <v>24</v>
      </c>
      <c r="G272" s="1" t="s">
        <v>57</v>
      </c>
      <c r="H272" s="1" t="s">
        <v>52</v>
      </c>
      <c r="I272" s="1" t="s">
        <v>38</v>
      </c>
      <c r="J272" s="5">
        <v>2023</v>
      </c>
      <c r="K272" s="1">
        <v>6714.98</v>
      </c>
      <c r="L272" s="1">
        <v>114812</v>
      </c>
      <c r="M272" s="1">
        <v>1116</v>
      </c>
      <c r="N272" s="1">
        <v>69</v>
      </c>
      <c r="O272" s="1">
        <v>6093.4</v>
      </c>
      <c r="P272" s="8">
        <f t="shared" si="20"/>
        <v>0.97202383026164518</v>
      </c>
      <c r="Q272" s="10">
        <f t="shared" si="21"/>
        <v>5.4600358422939061</v>
      </c>
      <c r="R272" s="12">
        <f t="shared" si="22"/>
        <v>88.310144927536228</v>
      </c>
      <c r="S272" s="2">
        <f t="shared" si="23"/>
        <v>1.1020087307578692</v>
      </c>
      <c r="T272" s="18" t="str">
        <f t="shared" si="24"/>
        <v>🔴 Low</v>
      </c>
    </row>
    <row r="273" spans="1:20" x14ac:dyDescent="0.3">
      <c r="A273" s="17">
        <v>272</v>
      </c>
      <c r="B273" s="3" t="s">
        <v>20</v>
      </c>
      <c r="C273" s="3" t="s">
        <v>21</v>
      </c>
      <c r="D273" s="3" t="s">
        <v>13</v>
      </c>
      <c r="E273" s="3" t="s">
        <v>61</v>
      </c>
      <c r="F273" s="3" t="s">
        <v>31</v>
      </c>
      <c r="G273" s="3" t="s">
        <v>50</v>
      </c>
      <c r="H273" s="3" t="s">
        <v>54</v>
      </c>
      <c r="I273" s="3" t="s">
        <v>45</v>
      </c>
      <c r="J273" s="6">
        <v>2023</v>
      </c>
      <c r="K273" s="3">
        <v>8910.81</v>
      </c>
      <c r="L273" s="3">
        <v>690386</v>
      </c>
      <c r="M273" s="3">
        <v>5780</v>
      </c>
      <c r="N273" s="3">
        <v>355</v>
      </c>
      <c r="O273" s="3">
        <v>8676.42</v>
      </c>
      <c r="P273" s="9">
        <f t="shared" si="20"/>
        <v>0.83721280558991629</v>
      </c>
      <c r="Q273" s="11">
        <f t="shared" si="21"/>
        <v>1.5011107266435986</v>
      </c>
      <c r="R273" s="13">
        <f t="shared" si="22"/>
        <v>24.440619718309858</v>
      </c>
      <c r="S273" s="4">
        <f t="shared" si="23"/>
        <v>1.0270145981868097</v>
      </c>
      <c r="T273" s="19" t="str">
        <f t="shared" si="24"/>
        <v>🔴 Low</v>
      </c>
    </row>
    <row r="274" spans="1:20" x14ac:dyDescent="0.3">
      <c r="A274" s="16">
        <v>273</v>
      </c>
      <c r="B274" s="1" t="s">
        <v>91</v>
      </c>
      <c r="C274" s="1" t="s">
        <v>36</v>
      </c>
      <c r="D274" s="1" t="s">
        <v>22</v>
      </c>
      <c r="E274" s="1" t="s">
        <v>23</v>
      </c>
      <c r="F274" s="1" t="s">
        <v>24</v>
      </c>
      <c r="G274" s="1" t="s">
        <v>25</v>
      </c>
      <c r="H274" s="1" t="s">
        <v>33</v>
      </c>
      <c r="I274" s="1" t="s">
        <v>34</v>
      </c>
      <c r="J274" s="5">
        <v>2024</v>
      </c>
      <c r="K274" s="1">
        <v>13381.66</v>
      </c>
      <c r="L274" s="1">
        <v>316847</v>
      </c>
      <c r="M274" s="1">
        <v>8911</v>
      </c>
      <c r="N274" s="1">
        <v>120</v>
      </c>
      <c r="O274" s="1">
        <v>12749.23</v>
      </c>
      <c r="P274" s="8">
        <f t="shared" si="20"/>
        <v>2.8123984131142161</v>
      </c>
      <c r="Q274" s="10">
        <f t="shared" si="21"/>
        <v>1.4307294355291214</v>
      </c>
      <c r="R274" s="12">
        <f t="shared" si="22"/>
        <v>106.24358333333333</v>
      </c>
      <c r="S274" s="2">
        <f t="shared" si="23"/>
        <v>1.0496053487151773</v>
      </c>
      <c r="T274" s="18" t="str">
        <f t="shared" si="24"/>
        <v>🟡 Mid</v>
      </c>
    </row>
    <row r="275" spans="1:20" x14ac:dyDescent="0.3">
      <c r="A275" s="17">
        <v>274</v>
      </c>
      <c r="B275" s="3" t="s">
        <v>91</v>
      </c>
      <c r="C275" s="3" t="s">
        <v>36</v>
      </c>
      <c r="D275" s="3" t="s">
        <v>13</v>
      </c>
      <c r="E275" s="3" t="s">
        <v>42</v>
      </c>
      <c r="F275" s="3" t="s">
        <v>47</v>
      </c>
      <c r="G275" s="3" t="s">
        <v>57</v>
      </c>
      <c r="H275" s="3" t="s">
        <v>52</v>
      </c>
      <c r="I275" s="3" t="s">
        <v>38</v>
      </c>
      <c r="J275" s="6">
        <v>2024</v>
      </c>
      <c r="K275" s="3">
        <v>4393.66</v>
      </c>
      <c r="L275" s="3">
        <v>31985</v>
      </c>
      <c r="M275" s="3">
        <v>946</v>
      </c>
      <c r="N275" s="3">
        <v>61</v>
      </c>
      <c r="O275" s="3">
        <v>3813.87</v>
      </c>
      <c r="P275" s="9">
        <f t="shared" si="20"/>
        <v>2.9576363920587774</v>
      </c>
      <c r="Q275" s="11">
        <f t="shared" si="21"/>
        <v>4.0315750528541221</v>
      </c>
      <c r="R275" s="13">
        <f t="shared" si="22"/>
        <v>62.522459016393441</v>
      </c>
      <c r="S275" s="4">
        <f t="shared" si="23"/>
        <v>1.1520214375424438</v>
      </c>
      <c r="T275" s="19" t="str">
        <f t="shared" si="24"/>
        <v>🟡 Mid</v>
      </c>
    </row>
    <row r="276" spans="1:20" x14ac:dyDescent="0.3">
      <c r="A276" s="16">
        <v>275</v>
      </c>
      <c r="B276" s="1" t="s">
        <v>86</v>
      </c>
      <c r="C276" s="1" t="s">
        <v>36</v>
      </c>
      <c r="D276" s="1" t="s">
        <v>22</v>
      </c>
      <c r="E276" s="1" t="s">
        <v>23</v>
      </c>
      <c r="F276" s="1" t="s">
        <v>47</v>
      </c>
      <c r="G276" s="1" t="s">
        <v>50</v>
      </c>
      <c r="H276" s="1" t="s">
        <v>48</v>
      </c>
      <c r="I276" s="1" t="s">
        <v>34</v>
      </c>
      <c r="J276" s="5">
        <v>2024</v>
      </c>
      <c r="K276" s="1">
        <v>2277.17</v>
      </c>
      <c r="L276" s="1">
        <v>575557</v>
      </c>
      <c r="M276" s="1">
        <v>14008</v>
      </c>
      <c r="N276" s="1">
        <v>150</v>
      </c>
      <c r="O276" s="1">
        <v>1544.75</v>
      </c>
      <c r="P276" s="8">
        <f t="shared" si="20"/>
        <v>2.433816285789244</v>
      </c>
      <c r="Q276" s="10">
        <f t="shared" si="21"/>
        <v>0.11027627070245574</v>
      </c>
      <c r="R276" s="12">
        <f t="shared" si="22"/>
        <v>10.298333333333334</v>
      </c>
      <c r="S276" s="2">
        <f t="shared" si="23"/>
        <v>1.47413497329665</v>
      </c>
      <c r="T276" s="18" t="str">
        <f t="shared" si="24"/>
        <v>🟡 Mid</v>
      </c>
    </row>
    <row r="277" spans="1:20" x14ac:dyDescent="0.3">
      <c r="A277" s="17">
        <v>276</v>
      </c>
      <c r="B277" s="3" t="s">
        <v>71</v>
      </c>
      <c r="C277" s="3" t="s">
        <v>36</v>
      </c>
      <c r="D277" s="3" t="s">
        <v>41</v>
      </c>
      <c r="E277" s="3" t="s">
        <v>56</v>
      </c>
      <c r="F277" s="3" t="s">
        <v>47</v>
      </c>
      <c r="G277" s="3" t="s">
        <v>25</v>
      </c>
      <c r="H277" s="3" t="s">
        <v>52</v>
      </c>
      <c r="I277" s="3" t="s">
        <v>38</v>
      </c>
      <c r="J277" s="6">
        <v>2023</v>
      </c>
      <c r="K277" s="3">
        <v>3447.05</v>
      </c>
      <c r="L277" s="3">
        <v>735302</v>
      </c>
      <c r="M277" s="3">
        <v>22887</v>
      </c>
      <c r="N277" s="3">
        <v>2595</v>
      </c>
      <c r="O277" s="3">
        <v>2192.31</v>
      </c>
      <c r="P277" s="9">
        <f t="shared" si="20"/>
        <v>3.1125986329426549</v>
      </c>
      <c r="Q277" s="11">
        <f t="shared" si="21"/>
        <v>9.5788438851749896E-2</v>
      </c>
      <c r="R277" s="13">
        <f t="shared" si="22"/>
        <v>0.84482080924855485</v>
      </c>
      <c r="S277" s="4">
        <f t="shared" si="23"/>
        <v>1.572336941399711</v>
      </c>
      <c r="T277" s="19" t="str">
        <f t="shared" si="24"/>
        <v>🟢 High</v>
      </c>
    </row>
    <row r="278" spans="1:20" x14ac:dyDescent="0.3">
      <c r="A278" s="16">
        <v>277</v>
      </c>
      <c r="B278" s="1" t="s">
        <v>82</v>
      </c>
      <c r="C278" s="1" t="s">
        <v>40</v>
      </c>
      <c r="D278" s="1" t="s">
        <v>29</v>
      </c>
      <c r="E278" s="1" t="s">
        <v>30</v>
      </c>
      <c r="F278" s="1" t="s">
        <v>31</v>
      </c>
      <c r="G278" s="1" t="s">
        <v>57</v>
      </c>
      <c r="H278" s="1" t="s">
        <v>33</v>
      </c>
      <c r="I278" s="1" t="s">
        <v>34</v>
      </c>
      <c r="J278" s="5">
        <v>2024</v>
      </c>
      <c r="K278" s="1">
        <v>19329.740000000002</v>
      </c>
      <c r="L278" s="1">
        <v>725442</v>
      </c>
      <c r="M278" s="1">
        <v>14365</v>
      </c>
      <c r="N278" s="1">
        <v>523</v>
      </c>
      <c r="O278" s="1">
        <v>15464.37</v>
      </c>
      <c r="P278" s="8">
        <f t="shared" si="20"/>
        <v>1.9801720881889937</v>
      </c>
      <c r="Q278" s="10">
        <f t="shared" si="21"/>
        <v>1.0765311521058127</v>
      </c>
      <c r="R278" s="12">
        <f t="shared" si="22"/>
        <v>29.568585086042066</v>
      </c>
      <c r="S278" s="2">
        <f t="shared" si="23"/>
        <v>1.2499532797003694</v>
      </c>
      <c r="T278" s="18" t="str">
        <f t="shared" si="24"/>
        <v>🟡 Mid</v>
      </c>
    </row>
    <row r="279" spans="1:20" x14ac:dyDescent="0.3">
      <c r="A279" s="17">
        <v>278</v>
      </c>
      <c r="B279" s="3" t="s">
        <v>35</v>
      </c>
      <c r="C279" s="3" t="s">
        <v>36</v>
      </c>
      <c r="D279" s="3" t="s">
        <v>22</v>
      </c>
      <c r="E279" s="3" t="s">
        <v>61</v>
      </c>
      <c r="F279" s="3" t="s">
        <v>31</v>
      </c>
      <c r="G279" s="3" t="s">
        <v>32</v>
      </c>
      <c r="H279" s="3" t="s">
        <v>79</v>
      </c>
      <c r="I279" s="3" t="s">
        <v>45</v>
      </c>
      <c r="J279" s="6">
        <v>2023</v>
      </c>
      <c r="K279" s="3">
        <v>2845.5</v>
      </c>
      <c r="L279" s="3">
        <v>798969</v>
      </c>
      <c r="M279" s="3">
        <v>19006</v>
      </c>
      <c r="N279" s="3">
        <v>223</v>
      </c>
      <c r="O279" s="3">
        <v>2841.53</v>
      </c>
      <c r="P279" s="9">
        <f t="shared" si="20"/>
        <v>2.3788156987317408</v>
      </c>
      <c r="Q279" s="11">
        <f t="shared" si="21"/>
        <v>0.14950699779017154</v>
      </c>
      <c r="R279" s="13">
        <f t="shared" si="22"/>
        <v>12.742286995515697</v>
      </c>
      <c r="S279" s="4">
        <f t="shared" si="23"/>
        <v>1.0013971346422526</v>
      </c>
      <c r="T279" s="19" t="str">
        <f t="shared" si="24"/>
        <v>🟡 Mid</v>
      </c>
    </row>
    <row r="280" spans="1:20" x14ac:dyDescent="0.3">
      <c r="A280" s="16">
        <v>279</v>
      </c>
      <c r="B280" s="1" t="s">
        <v>97</v>
      </c>
      <c r="C280" s="1" t="s">
        <v>36</v>
      </c>
      <c r="D280" s="1" t="s">
        <v>46</v>
      </c>
      <c r="E280" s="1" t="s">
        <v>30</v>
      </c>
      <c r="F280" s="1" t="s">
        <v>24</v>
      </c>
      <c r="G280" s="1" t="s">
        <v>50</v>
      </c>
      <c r="H280" s="1" t="s">
        <v>58</v>
      </c>
      <c r="I280" s="1" t="s">
        <v>27</v>
      </c>
      <c r="J280" s="5">
        <v>2024</v>
      </c>
      <c r="K280" s="1">
        <v>4437.43</v>
      </c>
      <c r="L280" s="1">
        <v>662694</v>
      </c>
      <c r="M280" s="1">
        <v>21222</v>
      </c>
      <c r="N280" s="1">
        <v>1256</v>
      </c>
      <c r="O280" s="1">
        <v>4017.57</v>
      </c>
      <c r="P280" s="8">
        <f t="shared" si="20"/>
        <v>3.2023830002987808</v>
      </c>
      <c r="Q280" s="10">
        <f t="shared" si="21"/>
        <v>0.18931156347186881</v>
      </c>
      <c r="R280" s="12">
        <f t="shared" si="22"/>
        <v>3.198702229299363</v>
      </c>
      <c r="S280" s="2">
        <f t="shared" si="23"/>
        <v>1.1045059575813241</v>
      </c>
      <c r="T280" s="18" t="str">
        <f t="shared" si="24"/>
        <v>🟢 High</v>
      </c>
    </row>
    <row r="281" spans="1:20" x14ac:dyDescent="0.3">
      <c r="A281" s="17">
        <v>280</v>
      </c>
      <c r="B281" s="3" t="s">
        <v>70</v>
      </c>
      <c r="C281" s="3" t="s">
        <v>36</v>
      </c>
      <c r="D281" s="3" t="s">
        <v>41</v>
      </c>
      <c r="E281" s="3" t="s">
        <v>61</v>
      </c>
      <c r="F281" s="3" t="s">
        <v>47</v>
      </c>
      <c r="G281" s="3" t="s">
        <v>32</v>
      </c>
      <c r="H281" s="3" t="s">
        <v>37</v>
      </c>
      <c r="I281" s="3" t="s">
        <v>38</v>
      </c>
      <c r="J281" s="6">
        <v>2024</v>
      </c>
      <c r="K281" s="3">
        <v>10633.92</v>
      </c>
      <c r="L281" s="3">
        <v>17964</v>
      </c>
      <c r="M281" s="3">
        <v>599</v>
      </c>
      <c r="N281" s="3">
        <v>73</v>
      </c>
      <c r="O281" s="3">
        <v>9163.08</v>
      </c>
      <c r="P281" s="9">
        <f t="shared" si="20"/>
        <v>3.334446671120018</v>
      </c>
      <c r="Q281" s="11">
        <f t="shared" si="21"/>
        <v>15.297295492487478</v>
      </c>
      <c r="R281" s="13">
        <f t="shared" si="22"/>
        <v>125.52164383561643</v>
      </c>
      <c r="S281" s="4">
        <f t="shared" si="23"/>
        <v>1.1605180790738485</v>
      </c>
      <c r="T281" s="19" t="str">
        <f t="shared" si="24"/>
        <v>🟢 High</v>
      </c>
    </row>
    <row r="282" spans="1:20" x14ac:dyDescent="0.3">
      <c r="A282" s="16">
        <v>281</v>
      </c>
      <c r="B282" s="1" t="s">
        <v>90</v>
      </c>
      <c r="C282" s="1" t="s">
        <v>21</v>
      </c>
      <c r="D282" s="1" t="s">
        <v>22</v>
      </c>
      <c r="E282" s="1" t="s">
        <v>56</v>
      </c>
      <c r="F282" s="1" t="s">
        <v>24</v>
      </c>
      <c r="G282" s="1" t="s">
        <v>25</v>
      </c>
      <c r="H282" s="1" t="s">
        <v>79</v>
      </c>
      <c r="I282" s="1" t="s">
        <v>45</v>
      </c>
      <c r="J282" s="5">
        <v>2023</v>
      </c>
      <c r="K282" s="1">
        <v>18536.099999999999</v>
      </c>
      <c r="L282" s="1">
        <v>595016</v>
      </c>
      <c r="M282" s="1">
        <v>5128</v>
      </c>
      <c r="N282" s="1">
        <v>92</v>
      </c>
      <c r="O282" s="1">
        <v>17973.66</v>
      </c>
      <c r="P282" s="8">
        <f t="shared" si="20"/>
        <v>0.86182556435457203</v>
      </c>
      <c r="Q282" s="10">
        <f t="shared" si="21"/>
        <v>3.505003900156006</v>
      </c>
      <c r="R282" s="12">
        <f t="shared" si="22"/>
        <v>195.36586956521739</v>
      </c>
      <c r="S282" s="2">
        <f t="shared" si="23"/>
        <v>1.0312924579634866</v>
      </c>
      <c r="T282" s="18" t="str">
        <f t="shared" si="24"/>
        <v>🔴 Low</v>
      </c>
    </row>
    <row r="283" spans="1:20" x14ac:dyDescent="0.3">
      <c r="A283" s="17">
        <v>282</v>
      </c>
      <c r="B283" s="3" t="s">
        <v>101</v>
      </c>
      <c r="C283" s="3" t="s">
        <v>40</v>
      </c>
      <c r="D283" s="3" t="s">
        <v>41</v>
      </c>
      <c r="E283" s="3" t="s">
        <v>56</v>
      </c>
      <c r="F283" s="3" t="s">
        <v>31</v>
      </c>
      <c r="G283" s="3" t="s">
        <v>32</v>
      </c>
      <c r="H283" s="3" t="s">
        <v>48</v>
      </c>
      <c r="I283" s="3" t="s">
        <v>34</v>
      </c>
      <c r="J283" s="6">
        <v>2023</v>
      </c>
      <c r="K283" s="3">
        <v>3857.89</v>
      </c>
      <c r="L283" s="3">
        <v>427548</v>
      </c>
      <c r="M283" s="3">
        <v>3152</v>
      </c>
      <c r="N283" s="3">
        <v>225</v>
      </c>
      <c r="O283" s="3">
        <v>3300.95</v>
      </c>
      <c r="P283" s="9">
        <f t="shared" si="20"/>
        <v>0.73722716513701392</v>
      </c>
      <c r="Q283" s="11">
        <f t="shared" si="21"/>
        <v>1.0472557106598983</v>
      </c>
      <c r="R283" s="13">
        <f t="shared" si="22"/>
        <v>14.670888888888888</v>
      </c>
      <c r="S283" s="4">
        <f t="shared" si="23"/>
        <v>1.1687211257365304</v>
      </c>
      <c r="T283" s="19" t="str">
        <f t="shared" si="24"/>
        <v>🔴 Low</v>
      </c>
    </row>
    <row r="284" spans="1:20" x14ac:dyDescent="0.3">
      <c r="A284" s="16">
        <v>283</v>
      </c>
      <c r="B284" s="1" t="s">
        <v>76</v>
      </c>
      <c r="C284" s="1" t="s">
        <v>21</v>
      </c>
      <c r="D284" s="1" t="s">
        <v>22</v>
      </c>
      <c r="E284" s="1" t="s">
        <v>56</v>
      </c>
      <c r="F284" s="1" t="s">
        <v>47</v>
      </c>
      <c r="G284" s="1" t="s">
        <v>25</v>
      </c>
      <c r="H284" s="1" t="s">
        <v>68</v>
      </c>
      <c r="I284" s="1" t="s">
        <v>27</v>
      </c>
      <c r="J284" s="5">
        <v>2024</v>
      </c>
      <c r="K284" s="1">
        <v>18456.28</v>
      </c>
      <c r="L284" s="1">
        <v>395532</v>
      </c>
      <c r="M284" s="1">
        <v>6386</v>
      </c>
      <c r="N284" s="1">
        <v>60</v>
      </c>
      <c r="O284" s="1">
        <v>13246.91</v>
      </c>
      <c r="P284" s="8">
        <f t="shared" si="20"/>
        <v>1.6145343486746966</v>
      </c>
      <c r="Q284" s="10">
        <f t="shared" si="21"/>
        <v>2.074367366113373</v>
      </c>
      <c r="R284" s="12">
        <f t="shared" si="22"/>
        <v>220.78183333333334</v>
      </c>
      <c r="S284" s="2">
        <f t="shared" si="23"/>
        <v>1.3932517092665384</v>
      </c>
      <c r="T284" s="18" t="str">
        <f t="shared" si="24"/>
        <v>🟡 Mid</v>
      </c>
    </row>
    <row r="285" spans="1:20" x14ac:dyDescent="0.3">
      <c r="A285" s="17">
        <v>284</v>
      </c>
      <c r="B285" s="3" t="s">
        <v>39</v>
      </c>
      <c r="C285" s="3" t="s">
        <v>40</v>
      </c>
      <c r="D285" s="3" t="s">
        <v>46</v>
      </c>
      <c r="E285" s="3" t="s">
        <v>30</v>
      </c>
      <c r="F285" s="3" t="s">
        <v>47</v>
      </c>
      <c r="G285" s="3" t="s">
        <v>50</v>
      </c>
      <c r="H285" s="3" t="s">
        <v>37</v>
      </c>
      <c r="I285" s="3" t="s">
        <v>38</v>
      </c>
      <c r="J285" s="6">
        <v>2024</v>
      </c>
      <c r="K285" s="3">
        <v>14711.59</v>
      </c>
      <c r="L285" s="3">
        <v>639366</v>
      </c>
      <c r="M285" s="3">
        <v>10977</v>
      </c>
      <c r="N285" s="3">
        <v>864</v>
      </c>
      <c r="O285" s="3">
        <v>9988.18</v>
      </c>
      <c r="P285" s="9">
        <f t="shared" si="20"/>
        <v>1.7168570114769945</v>
      </c>
      <c r="Q285" s="11">
        <f t="shared" si="21"/>
        <v>0.90991892138106956</v>
      </c>
      <c r="R285" s="13">
        <f t="shared" si="22"/>
        <v>11.560393518518518</v>
      </c>
      <c r="S285" s="4">
        <f t="shared" si="23"/>
        <v>1.4728999677618946</v>
      </c>
      <c r="T285" s="19" t="str">
        <f t="shared" si="24"/>
        <v>🟡 Mid</v>
      </c>
    </row>
    <row r="286" spans="1:20" x14ac:dyDescent="0.3">
      <c r="A286" s="16">
        <v>285</v>
      </c>
      <c r="B286" s="1" t="s">
        <v>35</v>
      </c>
      <c r="C286" s="1" t="s">
        <v>36</v>
      </c>
      <c r="D286" s="1" t="s">
        <v>41</v>
      </c>
      <c r="E286" s="1" t="s">
        <v>61</v>
      </c>
      <c r="F286" s="1" t="s">
        <v>47</v>
      </c>
      <c r="G286" s="1" t="s">
        <v>57</v>
      </c>
      <c r="H286" s="1" t="s">
        <v>81</v>
      </c>
      <c r="I286" s="1" t="s">
        <v>34</v>
      </c>
      <c r="J286" s="5">
        <v>2023</v>
      </c>
      <c r="K286" s="1">
        <v>1779.53</v>
      </c>
      <c r="L286" s="1">
        <v>749037</v>
      </c>
      <c r="M286" s="1">
        <v>18952</v>
      </c>
      <c r="N286" s="1">
        <v>2427</v>
      </c>
      <c r="O286" s="1">
        <v>1724.93</v>
      </c>
      <c r="P286" s="8">
        <f t="shared" si="20"/>
        <v>2.5301820871332126</v>
      </c>
      <c r="Q286" s="10">
        <f t="shared" si="21"/>
        <v>9.1015723934149431E-2</v>
      </c>
      <c r="R286" s="12">
        <f t="shared" si="22"/>
        <v>0.71072517511330868</v>
      </c>
      <c r="S286" s="2">
        <f t="shared" si="23"/>
        <v>1.0316534584012105</v>
      </c>
      <c r="T286" s="18" t="str">
        <f t="shared" si="24"/>
        <v>🟡 Mid</v>
      </c>
    </row>
    <row r="287" spans="1:20" x14ac:dyDescent="0.3">
      <c r="A287" s="17">
        <v>286</v>
      </c>
      <c r="B287" s="3" t="s">
        <v>65</v>
      </c>
      <c r="C287" s="3" t="s">
        <v>36</v>
      </c>
      <c r="D287" s="3" t="s">
        <v>46</v>
      </c>
      <c r="E287" s="3" t="s">
        <v>30</v>
      </c>
      <c r="F287" s="3" t="s">
        <v>24</v>
      </c>
      <c r="G287" s="3" t="s">
        <v>25</v>
      </c>
      <c r="H287" s="3" t="s">
        <v>68</v>
      </c>
      <c r="I287" s="3" t="s">
        <v>27</v>
      </c>
      <c r="J287" s="6">
        <v>2024</v>
      </c>
      <c r="K287" s="3">
        <v>1485.91</v>
      </c>
      <c r="L287" s="3">
        <v>382880</v>
      </c>
      <c r="M287" s="3">
        <v>10676</v>
      </c>
      <c r="N287" s="3">
        <v>878</v>
      </c>
      <c r="O287" s="3">
        <v>1062.53</v>
      </c>
      <c r="P287" s="9">
        <f t="shared" si="20"/>
        <v>2.7883409945674882</v>
      </c>
      <c r="Q287" s="11">
        <f t="shared" si="21"/>
        <v>9.9525103034844506E-2</v>
      </c>
      <c r="R287" s="13">
        <f t="shared" si="22"/>
        <v>1.2101708428246014</v>
      </c>
      <c r="S287" s="4">
        <f t="shared" si="23"/>
        <v>1.3984640433681874</v>
      </c>
      <c r="T287" s="19" t="str">
        <f t="shared" si="24"/>
        <v>🟡 Mid</v>
      </c>
    </row>
    <row r="288" spans="1:20" x14ac:dyDescent="0.3">
      <c r="A288" s="16">
        <v>287</v>
      </c>
      <c r="B288" s="1" t="s">
        <v>82</v>
      </c>
      <c r="C288" s="1" t="s">
        <v>40</v>
      </c>
      <c r="D288" s="1" t="s">
        <v>22</v>
      </c>
      <c r="E288" s="1" t="s">
        <v>42</v>
      </c>
      <c r="F288" s="1" t="s">
        <v>24</v>
      </c>
      <c r="G288" s="1" t="s">
        <v>43</v>
      </c>
      <c r="H288" s="1" t="s">
        <v>48</v>
      </c>
      <c r="I288" s="1" t="s">
        <v>34</v>
      </c>
      <c r="J288" s="5">
        <v>2024</v>
      </c>
      <c r="K288" s="1">
        <v>3962.88</v>
      </c>
      <c r="L288" s="1">
        <v>502635</v>
      </c>
      <c r="M288" s="1">
        <v>6049</v>
      </c>
      <c r="N288" s="1">
        <v>45</v>
      </c>
      <c r="O288" s="1">
        <v>3866.53</v>
      </c>
      <c r="P288" s="8">
        <f t="shared" si="20"/>
        <v>1.203457777512509</v>
      </c>
      <c r="Q288" s="10">
        <f t="shared" si="21"/>
        <v>0.63920152091254756</v>
      </c>
      <c r="R288" s="12">
        <f t="shared" si="22"/>
        <v>85.922888888888892</v>
      </c>
      <c r="S288" s="2">
        <f t="shared" si="23"/>
        <v>1.0249189842054762</v>
      </c>
      <c r="T288" s="18" t="str">
        <f t="shared" si="24"/>
        <v>🔴 Low</v>
      </c>
    </row>
    <row r="289" spans="1:20" x14ac:dyDescent="0.3">
      <c r="A289" s="17">
        <v>288</v>
      </c>
      <c r="B289" s="3" t="s">
        <v>20</v>
      </c>
      <c r="C289" s="3" t="s">
        <v>21</v>
      </c>
      <c r="D289" s="3" t="s">
        <v>13</v>
      </c>
      <c r="E289" s="3" t="s">
        <v>42</v>
      </c>
      <c r="F289" s="3" t="s">
        <v>47</v>
      </c>
      <c r="G289" s="3" t="s">
        <v>57</v>
      </c>
      <c r="H289" s="3" t="s">
        <v>26</v>
      </c>
      <c r="I289" s="3" t="s">
        <v>27</v>
      </c>
      <c r="J289" s="6">
        <v>2023</v>
      </c>
      <c r="K289" s="3">
        <v>17213.669999999998</v>
      </c>
      <c r="L289" s="3">
        <v>683827</v>
      </c>
      <c r="M289" s="3">
        <v>3139</v>
      </c>
      <c r="N289" s="3">
        <v>206</v>
      </c>
      <c r="O289" s="3">
        <v>11822.81</v>
      </c>
      <c r="P289" s="9">
        <f t="shared" si="20"/>
        <v>0.45903422941767436</v>
      </c>
      <c r="Q289" s="11">
        <f t="shared" si="21"/>
        <v>3.7664256132526281</v>
      </c>
      <c r="R289" s="13">
        <f t="shared" si="22"/>
        <v>57.392281553398057</v>
      </c>
      <c r="S289" s="4">
        <f t="shared" si="23"/>
        <v>1.4559711269994189</v>
      </c>
      <c r="T289" s="19" t="str">
        <f t="shared" si="24"/>
        <v>🔴 Low</v>
      </c>
    </row>
    <row r="290" spans="1:20" x14ac:dyDescent="0.3">
      <c r="A290" s="16">
        <v>289</v>
      </c>
      <c r="B290" s="1" t="s">
        <v>90</v>
      </c>
      <c r="C290" s="1" t="s">
        <v>21</v>
      </c>
      <c r="D290" s="1" t="s">
        <v>29</v>
      </c>
      <c r="E290" s="1" t="s">
        <v>42</v>
      </c>
      <c r="F290" s="1" t="s">
        <v>31</v>
      </c>
      <c r="G290" s="1" t="s">
        <v>57</v>
      </c>
      <c r="H290" s="1" t="s">
        <v>48</v>
      </c>
      <c r="I290" s="1" t="s">
        <v>34</v>
      </c>
      <c r="J290" s="5">
        <v>2023</v>
      </c>
      <c r="K290" s="1">
        <v>13123.75</v>
      </c>
      <c r="L290" s="1">
        <v>635343</v>
      </c>
      <c r="M290" s="1">
        <v>5157</v>
      </c>
      <c r="N290" s="1">
        <v>145</v>
      </c>
      <c r="O290" s="1">
        <v>13072.07</v>
      </c>
      <c r="P290" s="8">
        <f t="shared" si="20"/>
        <v>0.81168754515277575</v>
      </c>
      <c r="Q290" s="10">
        <f t="shared" si="21"/>
        <v>2.5348206321504749</v>
      </c>
      <c r="R290" s="12">
        <f t="shared" si="22"/>
        <v>90.152206896551718</v>
      </c>
      <c r="S290" s="2">
        <f t="shared" si="23"/>
        <v>1.0039534672014456</v>
      </c>
      <c r="T290" s="18" t="str">
        <f t="shared" si="24"/>
        <v>🔴 Low</v>
      </c>
    </row>
    <row r="291" spans="1:20" x14ac:dyDescent="0.3">
      <c r="A291" s="17">
        <v>290</v>
      </c>
      <c r="B291" s="3" t="s">
        <v>73</v>
      </c>
      <c r="C291" s="3" t="s">
        <v>21</v>
      </c>
      <c r="D291" s="3" t="s">
        <v>41</v>
      </c>
      <c r="E291" s="3" t="s">
        <v>56</v>
      </c>
      <c r="F291" s="3" t="s">
        <v>47</v>
      </c>
      <c r="G291" s="3" t="s">
        <v>50</v>
      </c>
      <c r="H291" s="3" t="s">
        <v>52</v>
      </c>
      <c r="I291" s="3" t="s">
        <v>38</v>
      </c>
      <c r="J291" s="6">
        <v>2023</v>
      </c>
      <c r="K291" s="3">
        <v>9600.61</v>
      </c>
      <c r="L291" s="3">
        <v>715091</v>
      </c>
      <c r="M291" s="3">
        <v>2589</v>
      </c>
      <c r="N291" s="3">
        <v>263</v>
      </c>
      <c r="O291" s="3">
        <v>8274.91</v>
      </c>
      <c r="P291" s="9">
        <f t="shared" si="20"/>
        <v>0.36205182277500347</v>
      </c>
      <c r="Q291" s="11">
        <f t="shared" si="21"/>
        <v>3.1961799922750096</v>
      </c>
      <c r="R291" s="13">
        <f t="shared" si="22"/>
        <v>31.463536121673002</v>
      </c>
      <c r="S291" s="4">
        <f t="shared" si="23"/>
        <v>1.160207180501057</v>
      </c>
      <c r="T291" s="19" t="str">
        <f t="shared" si="24"/>
        <v>🔴 Low</v>
      </c>
    </row>
    <row r="292" spans="1:20" x14ac:dyDescent="0.3">
      <c r="A292" s="16">
        <v>291</v>
      </c>
      <c r="B292" s="1" t="s">
        <v>103</v>
      </c>
      <c r="C292" s="1" t="s">
        <v>21</v>
      </c>
      <c r="D292" s="1" t="s">
        <v>22</v>
      </c>
      <c r="E292" s="1" t="s">
        <v>61</v>
      </c>
      <c r="F292" s="1" t="s">
        <v>31</v>
      </c>
      <c r="G292" s="1" t="s">
        <v>43</v>
      </c>
      <c r="H292" s="1" t="s">
        <v>81</v>
      </c>
      <c r="I292" s="1" t="s">
        <v>34</v>
      </c>
      <c r="J292" s="5">
        <v>2024</v>
      </c>
      <c r="K292" s="1">
        <v>6320.28</v>
      </c>
      <c r="L292" s="1">
        <v>118355</v>
      </c>
      <c r="M292" s="1">
        <v>296</v>
      </c>
      <c r="N292" s="1">
        <v>2</v>
      </c>
      <c r="O292" s="1">
        <v>4655.25</v>
      </c>
      <c r="P292" s="8">
        <f t="shared" si="20"/>
        <v>0.25009505301846141</v>
      </c>
      <c r="Q292" s="10">
        <f t="shared" si="21"/>
        <v>15.727195945945946</v>
      </c>
      <c r="R292" s="12">
        <f t="shared" si="22"/>
        <v>2327.625</v>
      </c>
      <c r="S292" s="2">
        <f t="shared" si="23"/>
        <v>1.3576671499919446</v>
      </c>
      <c r="T292" s="18" t="str">
        <f t="shared" si="24"/>
        <v>🔴 Low</v>
      </c>
    </row>
    <row r="293" spans="1:20" x14ac:dyDescent="0.3">
      <c r="A293" s="17">
        <v>292</v>
      </c>
      <c r="B293" s="3" t="s">
        <v>101</v>
      </c>
      <c r="C293" s="3" t="s">
        <v>40</v>
      </c>
      <c r="D293" s="3" t="s">
        <v>13</v>
      </c>
      <c r="E293" s="3" t="s">
        <v>30</v>
      </c>
      <c r="F293" s="3" t="s">
        <v>24</v>
      </c>
      <c r="G293" s="3" t="s">
        <v>32</v>
      </c>
      <c r="H293" s="3" t="s">
        <v>83</v>
      </c>
      <c r="I293" s="3" t="s">
        <v>38</v>
      </c>
      <c r="J293" s="6">
        <v>2023</v>
      </c>
      <c r="K293" s="3">
        <v>16205.88</v>
      </c>
      <c r="L293" s="3">
        <v>634180</v>
      </c>
      <c r="M293" s="3">
        <v>10475</v>
      </c>
      <c r="N293" s="3">
        <v>820</v>
      </c>
      <c r="O293" s="3">
        <v>11898.78</v>
      </c>
      <c r="P293" s="9">
        <f t="shared" si="20"/>
        <v>1.6517392538396038</v>
      </c>
      <c r="Q293" s="11">
        <f t="shared" si="21"/>
        <v>1.1359217183770884</v>
      </c>
      <c r="R293" s="13">
        <f t="shared" si="22"/>
        <v>14.510707317073171</v>
      </c>
      <c r="S293" s="4">
        <f t="shared" si="23"/>
        <v>1.361978286849576</v>
      </c>
      <c r="T293" s="19" t="str">
        <f t="shared" si="24"/>
        <v>🟡 Mid</v>
      </c>
    </row>
    <row r="294" spans="1:20" x14ac:dyDescent="0.3">
      <c r="A294" s="16">
        <v>293</v>
      </c>
      <c r="B294" s="1" t="s">
        <v>91</v>
      </c>
      <c r="C294" s="1" t="s">
        <v>36</v>
      </c>
      <c r="D294" s="1" t="s">
        <v>41</v>
      </c>
      <c r="E294" s="1" t="s">
        <v>23</v>
      </c>
      <c r="F294" s="1" t="s">
        <v>47</v>
      </c>
      <c r="G294" s="1" t="s">
        <v>50</v>
      </c>
      <c r="H294" s="1" t="s">
        <v>33</v>
      </c>
      <c r="I294" s="1" t="s">
        <v>34</v>
      </c>
      <c r="J294" s="5">
        <v>2024</v>
      </c>
      <c r="K294" s="1">
        <v>14866.28</v>
      </c>
      <c r="L294" s="1">
        <v>616344</v>
      </c>
      <c r="M294" s="1">
        <v>16212</v>
      </c>
      <c r="N294" s="1">
        <v>1219</v>
      </c>
      <c r="O294" s="1">
        <v>13456.23</v>
      </c>
      <c r="P294" s="8">
        <f t="shared" si="20"/>
        <v>2.6303492854639616</v>
      </c>
      <c r="Q294" s="10">
        <f t="shared" si="21"/>
        <v>0.83001665433012584</v>
      </c>
      <c r="R294" s="12">
        <f t="shared" si="22"/>
        <v>11.038744872846594</v>
      </c>
      <c r="S294" s="2">
        <f t="shared" si="23"/>
        <v>1.1047878937860012</v>
      </c>
      <c r="T294" s="18" t="str">
        <f t="shared" si="24"/>
        <v>🟡 Mid</v>
      </c>
    </row>
    <row r="295" spans="1:20" x14ac:dyDescent="0.3">
      <c r="A295" s="17">
        <v>294</v>
      </c>
      <c r="B295" s="3" t="s">
        <v>89</v>
      </c>
      <c r="C295" s="3" t="s">
        <v>36</v>
      </c>
      <c r="D295" s="3" t="s">
        <v>13</v>
      </c>
      <c r="E295" s="3" t="s">
        <v>61</v>
      </c>
      <c r="F295" s="3" t="s">
        <v>47</v>
      </c>
      <c r="G295" s="3" t="s">
        <v>25</v>
      </c>
      <c r="H295" s="3" t="s">
        <v>44</v>
      </c>
      <c r="I295" s="3" t="s">
        <v>45</v>
      </c>
      <c r="J295" s="6">
        <v>2023</v>
      </c>
      <c r="K295" s="3">
        <v>6228.79</v>
      </c>
      <c r="L295" s="3">
        <v>498649</v>
      </c>
      <c r="M295" s="3">
        <v>10825</v>
      </c>
      <c r="N295" s="3">
        <v>638</v>
      </c>
      <c r="O295" s="3">
        <v>4413.93</v>
      </c>
      <c r="P295" s="9">
        <f t="shared" si="20"/>
        <v>2.1708656790648333</v>
      </c>
      <c r="Q295" s="11">
        <f t="shared" si="21"/>
        <v>0.40775334872979219</v>
      </c>
      <c r="R295" s="13">
        <f t="shared" si="22"/>
        <v>6.9183855799373042</v>
      </c>
      <c r="S295" s="4">
        <f t="shared" si="23"/>
        <v>1.4111664661650727</v>
      </c>
      <c r="T295" s="19" t="str">
        <f t="shared" si="24"/>
        <v>🟡 Mid</v>
      </c>
    </row>
    <row r="296" spans="1:20" x14ac:dyDescent="0.3">
      <c r="A296" s="16">
        <v>295</v>
      </c>
      <c r="B296" s="1" t="s">
        <v>49</v>
      </c>
      <c r="C296" s="1" t="s">
        <v>21</v>
      </c>
      <c r="D296" s="1" t="s">
        <v>13</v>
      </c>
      <c r="E296" s="1" t="s">
        <v>42</v>
      </c>
      <c r="F296" s="1" t="s">
        <v>24</v>
      </c>
      <c r="G296" s="1" t="s">
        <v>43</v>
      </c>
      <c r="H296" s="1" t="s">
        <v>83</v>
      </c>
      <c r="I296" s="1" t="s">
        <v>38</v>
      </c>
      <c r="J296" s="5">
        <v>2024</v>
      </c>
      <c r="K296" s="1">
        <v>8699.2199999999993</v>
      </c>
      <c r="L296" s="1">
        <v>352411</v>
      </c>
      <c r="M296" s="1">
        <v>847</v>
      </c>
      <c r="N296" s="1">
        <v>69</v>
      </c>
      <c r="O296" s="1">
        <v>5649.87</v>
      </c>
      <c r="P296" s="8">
        <f t="shared" si="20"/>
        <v>0.24034437063542285</v>
      </c>
      <c r="Q296" s="10">
        <f t="shared" si="21"/>
        <v>6.6704486422668241</v>
      </c>
      <c r="R296" s="12">
        <f t="shared" si="22"/>
        <v>81.882173913043474</v>
      </c>
      <c r="S296" s="2">
        <f t="shared" si="23"/>
        <v>1.5397203829468642</v>
      </c>
      <c r="T296" s="18" t="str">
        <f t="shared" si="24"/>
        <v>🔴 Low</v>
      </c>
    </row>
    <row r="297" spans="1:20" x14ac:dyDescent="0.3">
      <c r="A297" s="17">
        <v>296</v>
      </c>
      <c r="B297" s="3" t="s">
        <v>70</v>
      </c>
      <c r="C297" s="3" t="s">
        <v>36</v>
      </c>
      <c r="D297" s="3" t="s">
        <v>41</v>
      </c>
      <c r="E297" s="3" t="s">
        <v>30</v>
      </c>
      <c r="F297" s="3" t="s">
        <v>31</v>
      </c>
      <c r="G297" s="3" t="s">
        <v>57</v>
      </c>
      <c r="H297" s="3" t="s">
        <v>44</v>
      </c>
      <c r="I297" s="3" t="s">
        <v>45</v>
      </c>
      <c r="J297" s="6">
        <v>2024</v>
      </c>
      <c r="K297" s="3">
        <v>10831.85</v>
      </c>
      <c r="L297" s="3">
        <v>438174</v>
      </c>
      <c r="M297" s="3">
        <v>14367</v>
      </c>
      <c r="N297" s="3">
        <v>924</v>
      </c>
      <c r="O297" s="3">
        <v>10385.370000000001</v>
      </c>
      <c r="P297" s="9">
        <f t="shared" si="20"/>
        <v>3.2788344356351584</v>
      </c>
      <c r="Q297" s="11">
        <f t="shared" si="21"/>
        <v>0.72286281060764257</v>
      </c>
      <c r="R297" s="13">
        <f t="shared" si="22"/>
        <v>11.239577922077922</v>
      </c>
      <c r="S297" s="4">
        <f t="shared" si="23"/>
        <v>1.042991246339803</v>
      </c>
      <c r="T297" s="19" t="str">
        <f t="shared" si="24"/>
        <v>🟢 High</v>
      </c>
    </row>
    <row r="298" spans="1:20" x14ac:dyDescent="0.3">
      <c r="A298" s="16">
        <v>297</v>
      </c>
      <c r="B298" s="1" t="s">
        <v>97</v>
      </c>
      <c r="C298" s="1" t="s">
        <v>36</v>
      </c>
      <c r="D298" s="1" t="s">
        <v>13</v>
      </c>
      <c r="E298" s="1" t="s">
        <v>56</v>
      </c>
      <c r="F298" s="1" t="s">
        <v>31</v>
      </c>
      <c r="G298" s="1" t="s">
        <v>50</v>
      </c>
      <c r="H298" s="1" t="s">
        <v>26</v>
      </c>
      <c r="I298" s="1" t="s">
        <v>27</v>
      </c>
      <c r="J298" s="5">
        <v>2024</v>
      </c>
      <c r="K298" s="1">
        <v>17316.68</v>
      </c>
      <c r="L298" s="1">
        <v>194117</v>
      </c>
      <c r="M298" s="1">
        <v>5638</v>
      </c>
      <c r="N298" s="1">
        <v>530</v>
      </c>
      <c r="O298" s="1">
        <v>11676.05</v>
      </c>
      <c r="P298" s="8">
        <f t="shared" si="20"/>
        <v>2.9044339238706551</v>
      </c>
      <c r="Q298" s="10">
        <f t="shared" si="21"/>
        <v>2.0709560127704858</v>
      </c>
      <c r="R298" s="12">
        <f t="shared" si="22"/>
        <v>22.030283018867923</v>
      </c>
      <c r="S298" s="2">
        <f t="shared" si="23"/>
        <v>1.4830940258049599</v>
      </c>
      <c r="T298" s="18" t="str">
        <f t="shared" si="24"/>
        <v>🟡 Mid</v>
      </c>
    </row>
    <row r="299" spans="1:20" hidden="1" x14ac:dyDescent="0.3">
      <c r="A299" s="17">
        <v>298</v>
      </c>
      <c r="B299" s="3" t="s">
        <v>28</v>
      </c>
      <c r="C299" s="3" t="s">
        <v>21</v>
      </c>
      <c r="D299" s="3" t="s">
        <v>22</v>
      </c>
      <c r="E299" s="3" t="s">
        <v>56</v>
      </c>
      <c r="F299" s="3" t="s">
        <v>47</v>
      </c>
      <c r="G299" s="3" t="s">
        <v>25</v>
      </c>
      <c r="H299" s="3" t="s">
        <v>26</v>
      </c>
      <c r="I299" s="3" t="s">
        <v>27</v>
      </c>
      <c r="J299" s="6">
        <v>2023</v>
      </c>
      <c r="K299" s="3">
        <v>10046.75</v>
      </c>
      <c r="L299" s="3">
        <v>97318</v>
      </c>
      <c r="M299" s="3">
        <v>127</v>
      </c>
      <c r="N299" s="3">
        <v>0</v>
      </c>
      <c r="O299" s="3">
        <v>7858.15</v>
      </c>
      <c r="P299" s="9">
        <f t="shared" si="20"/>
        <v>0.13050001027559135</v>
      </c>
      <c r="Q299" s="11">
        <f t="shared" si="21"/>
        <v>61.875196850393699</v>
      </c>
      <c r="R299" s="13" t="str">
        <f t="shared" si="22"/>
        <v>-</v>
      </c>
      <c r="S299" s="4">
        <f t="shared" si="23"/>
        <v>1.2785133905563015</v>
      </c>
      <c r="T299" s="19" t="str">
        <f t="shared" si="24"/>
        <v>🔴 Low</v>
      </c>
    </row>
    <row r="300" spans="1:20" x14ac:dyDescent="0.3">
      <c r="A300" s="16">
        <v>299</v>
      </c>
      <c r="B300" s="1" t="s">
        <v>80</v>
      </c>
      <c r="C300" s="1" t="s">
        <v>40</v>
      </c>
      <c r="D300" s="1" t="s">
        <v>41</v>
      </c>
      <c r="E300" s="1" t="s">
        <v>56</v>
      </c>
      <c r="F300" s="1" t="s">
        <v>47</v>
      </c>
      <c r="G300" s="1" t="s">
        <v>57</v>
      </c>
      <c r="H300" s="1" t="s">
        <v>68</v>
      </c>
      <c r="I300" s="1" t="s">
        <v>27</v>
      </c>
      <c r="J300" s="5">
        <v>2023</v>
      </c>
      <c r="K300" s="1">
        <v>14747.85</v>
      </c>
      <c r="L300" s="1">
        <v>19760</v>
      </c>
      <c r="M300" s="1">
        <v>445</v>
      </c>
      <c r="N300" s="1">
        <v>45</v>
      </c>
      <c r="O300" s="1">
        <v>8959.68</v>
      </c>
      <c r="P300" s="8">
        <f t="shared" si="20"/>
        <v>2.252024291497976</v>
      </c>
      <c r="Q300" s="10">
        <f t="shared" si="21"/>
        <v>20.134112359550564</v>
      </c>
      <c r="R300" s="12">
        <f t="shared" si="22"/>
        <v>199.10400000000001</v>
      </c>
      <c r="S300" s="2">
        <f t="shared" si="23"/>
        <v>1.6460241883638702</v>
      </c>
      <c r="T300" s="18" t="str">
        <f t="shared" si="24"/>
        <v>🟡 Mid</v>
      </c>
    </row>
    <row r="301" spans="1:20" x14ac:dyDescent="0.3">
      <c r="A301" s="17">
        <v>300</v>
      </c>
      <c r="B301" s="3" t="s">
        <v>97</v>
      </c>
      <c r="C301" s="3" t="s">
        <v>36</v>
      </c>
      <c r="D301" s="3" t="s">
        <v>46</v>
      </c>
      <c r="E301" s="3" t="s">
        <v>23</v>
      </c>
      <c r="F301" s="3" t="s">
        <v>47</v>
      </c>
      <c r="G301" s="3" t="s">
        <v>25</v>
      </c>
      <c r="H301" s="3" t="s">
        <v>58</v>
      </c>
      <c r="I301" s="3" t="s">
        <v>27</v>
      </c>
      <c r="J301" s="6">
        <v>2024</v>
      </c>
      <c r="K301" s="3">
        <v>10315.06</v>
      </c>
      <c r="L301" s="3">
        <v>325984</v>
      </c>
      <c r="M301" s="3">
        <v>7407</v>
      </c>
      <c r="N301" s="3">
        <v>370</v>
      </c>
      <c r="O301" s="3">
        <v>9758.2000000000007</v>
      </c>
      <c r="P301" s="9">
        <f t="shared" si="20"/>
        <v>2.2721974084617647</v>
      </c>
      <c r="Q301" s="11">
        <f t="shared" si="21"/>
        <v>1.3174294586202242</v>
      </c>
      <c r="R301" s="13">
        <f t="shared" si="22"/>
        <v>26.373513513513515</v>
      </c>
      <c r="S301" s="4">
        <f t="shared" si="23"/>
        <v>1.0570658523088272</v>
      </c>
      <c r="T301" s="19" t="str">
        <f t="shared" si="24"/>
        <v>🟡 Mid</v>
      </c>
    </row>
    <row r="302" spans="1:20" x14ac:dyDescent="0.3">
      <c r="A302" s="16">
        <v>301</v>
      </c>
      <c r="B302" s="1" t="s">
        <v>77</v>
      </c>
      <c r="C302" s="1" t="s">
        <v>40</v>
      </c>
      <c r="D302" s="1" t="s">
        <v>41</v>
      </c>
      <c r="E302" s="1" t="s">
        <v>61</v>
      </c>
      <c r="F302" s="1" t="s">
        <v>31</v>
      </c>
      <c r="G302" s="1" t="s">
        <v>32</v>
      </c>
      <c r="H302" s="1" t="s">
        <v>37</v>
      </c>
      <c r="I302" s="1" t="s">
        <v>38</v>
      </c>
      <c r="J302" s="5">
        <v>2024</v>
      </c>
      <c r="K302" s="1">
        <v>17815.490000000002</v>
      </c>
      <c r="L302" s="1">
        <v>145288</v>
      </c>
      <c r="M302" s="1">
        <v>1464</v>
      </c>
      <c r="N302" s="1">
        <v>129</v>
      </c>
      <c r="O302" s="1">
        <v>12099.19</v>
      </c>
      <c r="P302" s="8">
        <f t="shared" si="20"/>
        <v>1.0076537635592753</v>
      </c>
      <c r="Q302" s="10">
        <f t="shared" si="21"/>
        <v>8.2644740437158468</v>
      </c>
      <c r="R302" s="12">
        <f t="shared" si="22"/>
        <v>93.79217054263566</v>
      </c>
      <c r="S302" s="2">
        <f t="shared" si="23"/>
        <v>1.4724531146299877</v>
      </c>
      <c r="T302" s="18" t="str">
        <f t="shared" si="24"/>
        <v>🔴 Low</v>
      </c>
    </row>
    <row r="303" spans="1:20" x14ac:dyDescent="0.3">
      <c r="A303" s="17">
        <v>302</v>
      </c>
      <c r="B303" s="3" t="s">
        <v>51</v>
      </c>
      <c r="C303" s="3" t="s">
        <v>40</v>
      </c>
      <c r="D303" s="3" t="s">
        <v>46</v>
      </c>
      <c r="E303" s="3" t="s">
        <v>30</v>
      </c>
      <c r="F303" s="3" t="s">
        <v>31</v>
      </c>
      <c r="G303" s="3" t="s">
        <v>25</v>
      </c>
      <c r="H303" s="3" t="s">
        <v>83</v>
      </c>
      <c r="I303" s="3" t="s">
        <v>38</v>
      </c>
      <c r="J303" s="6">
        <v>2023</v>
      </c>
      <c r="K303" s="3">
        <v>11999.01</v>
      </c>
      <c r="L303" s="3">
        <v>182193</v>
      </c>
      <c r="M303" s="3">
        <v>4552</v>
      </c>
      <c r="N303" s="3">
        <v>215</v>
      </c>
      <c r="O303" s="3">
        <v>10783.11</v>
      </c>
      <c r="P303" s="9">
        <f t="shared" si="20"/>
        <v>2.4984494464661102</v>
      </c>
      <c r="Q303" s="11">
        <f t="shared" si="21"/>
        <v>2.3688730228471004</v>
      </c>
      <c r="R303" s="13">
        <f t="shared" si="22"/>
        <v>50.154000000000003</v>
      </c>
      <c r="S303" s="4">
        <f t="shared" si="23"/>
        <v>1.1127596769392132</v>
      </c>
      <c r="T303" s="19" t="str">
        <f t="shared" si="24"/>
        <v>🟡 Mid</v>
      </c>
    </row>
    <row r="304" spans="1:20" x14ac:dyDescent="0.3">
      <c r="A304" s="16">
        <v>303</v>
      </c>
      <c r="B304" s="1" t="s">
        <v>35</v>
      </c>
      <c r="C304" s="1" t="s">
        <v>36</v>
      </c>
      <c r="D304" s="1" t="s">
        <v>13</v>
      </c>
      <c r="E304" s="1" t="s">
        <v>61</v>
      </c>
      <c r="F304" s="1" t="s">
        <v>31</v>
      </c>
      <c r="G304" s="1" t="s">
        <v>57</v>
      </c>
      <c r="H304" s="1" t="s">
        <v>79</v>
      </c>
      <c r="I304" s="1" t="s">
        <v>45</v>
      </c>
      <c r="J304" s="5">
        <v>2023</v>
      </c>
      <c r="K304" s="1">
        <v>13408.41</v>
      </c>
      <c r="L304" s="1">
        <v>690315</v>
      </c>
      <c r="M304" s="1">
        <v>19887</v>
      </c>
      <c r="N304" s="1">
        <v>1155</v>
      </c>
      <c r="O304" s="1">
        <v>10547.22</v>
      </c>
      <c r="P304" s="8">
        <f t="shared" si="20"/>
        <v>2.8808587384020341</v>
      </c>
      <c r="Q304" s="10">
        <f t="shared" si="21"/>
        <v>0.53035751998793179</v>
      </c>
      <c r="R304" s="12">
        <f t="shared" si="22"/>
        <v>9.1317922077922073</v>
      </c>
      <c r="S304" s="2">
        <f t="shared" si="23"/>
        <v>1.2712743263153703</v>
      </c>
      <c r="T304" s="18" t="str">
        <f t="shared" si="24"/>
        <v>🟡 Mid</v>
      </c>
    </row>
    <row r="305" spans="1:20" x14ac:dyDescent="0.3">
      <c r="A305" s="17">
        <v>304</v>
      </c>
      <c r="B305" s="3" t="s">
        <v>94</v>
      </c>
      <c r="C305" s="3" t="s">
        <v>36</v>
      </c>
      <c r="D305" s="3" t="s">
        <v>41</v>
      </c>
      <c r="E305" s="3" t="s">
        <v>30</v>
      </c>
      <c r="F305" s="3" t="s">
        <v>24</v>
      </c>
      <c r="G305" s="3" t="s">
        <v>57</v>
      </c>
      <c r="H305" s="3" t="s">
        <v>52</v>
      </c>
      <c r="I305" s="3" t="s">
        <v>38</v>
      </c>
      <c r="J305" s="6">
        <v>2024</v>
      </c>
      <c r="K305" s="3">
        <v>13402.46</v>
      </c>
      <c r="L305" s="3">
        <v>699663</v>
      </c>
      <c r="M305" s="3">
        <v>18647</v>
      </c>
      <c r="N305" s="3">
        <v>1894</v>
      </c>
      <c r="O305" s="3">
        <v>11547.23</v>
      </c>
      <c r="P305" s="9">
        <f t="shared" si="20"/>
        <v>2.665140217504713</v>
      </c>
      <c r="Q305" s="11">
        <f t="shared" si="21"/>
        <v>0.61925403550168923</v>
      </c>
      <c r="R305" s="13">
        <f t="shared" si="22"/>
        <v>6.0967423442449835</v>
      </c>
      <c r="S305" s="4">
        <f t="shared" si="23"/>
        <v>1.1606645056866451</v>
      </c>
      <c r="T305" s="19" t="str">
        <f t="shared" si="24"/>
        <v>🟡 Mid</v>
      </c>
    </row>
    <row r="306" spans="1:20" x14ac:dyDescent="0.3">
      <c r="A306" s="16">
        <v>305</v>
      </c>
      <c r="B306" s="1" t="s">
        <v>49</v>
      </c>
      <c r="C306" s="1" t="s">
        <v>21</v>
      </c>
      <c r="D306" s="1" t="s">
        <v>41</v>
      </c>
      <c r="E306" s="1" t="s">
        <v>42</v>
      </c>
      <c r="F306" s="1" t="s">
        <v>31</v>
      </c>
      <c r="G306" s="1" t="s">
        <v>32</v>
      </c>
      <c r="H306" s="1" t="s">
        <v>58</v>
      </c>
      <c r="I306" s="1" t="s">
        <v>27</v>
      </c>
      <c r="J306" s="5">
        <v>2024</v>
      </c>
      <c r="K306" s="1">
        <v>2723.24</v>
      </c>
      <c r="L306" s="1">
        <v>116425</v>
      </c>
      <c r="M306" s="1">
        <v>58</v>
      </c>
      <c r="N306" s="1">
        <v>7</v>
      </c>
      <c r="O306" s="1">
        <v>2584.98</v>
      </c>
      <c r="P306" s="8">
        <f t="shared" si="20"/>
        <v>4.9817479063774962E-2</v>
      </c>
      <c r="Q306" s="10">
        <f t="shared" si="21"/>
        <v>44.56862068965517</v>
      </c>
      <c r="R306" s="12">
        <f t="shared" si="22"/>
        <v>369.28285714285715</v>
      </c>
      <c r="S306" s="2">
        <f t="shared" si="23"/>
        <v>1.0534859070476366</v>
      </c>
      <c r="T306" s="18" t="str">
        <f t="shared" si="24"/>
        <v>🔴 Low</v>
      </c>
    </row>
    <row r="307" spans="1:20" x14ac:dyDescent="0.3">
      <c r="A307" s="17">
        <v>306</v>
      </c>
      <c r="B307" s="3" t="s">
        <v>72</v>
      </c>
      <c r="C307" s="3" t="s">
        <v>36</v>
      </c>
      <c r="D307" s="3" t="s">
        <v>41</v>
      </c>
      <c r="E307" s="3" t="s">
        <v>23</v>
      </c>
      <c r="F307" s="3" t="s">
        <v>24</v>
      </c>
      <c r="G307" s="3" t="s">
        <v>57</v>
      </c>
      <c r="H307" s="3" t="s">
        <v>81</v>
      </c>
      <c r="I307" s="3" t="s">
        <v>34</v>
      </c>
      <c r="J307" s="6">
        <v>2024</v>
      </c>
      <c r="K307" s="3">
        <v>18251.95</v>
      </c>
      <c r="L307" s="3">
        <v>726634</v>
      </c>
      <c r="M307" s="3">
        <v>20416</v>
      </c>
      <c r="N307" s="3">
        <v>2749</v>
      </c>
      <c r="O307" s="3">
        <v>13485.52</v>
      </c>
      <c r="P307" s="9">
        <f t="shared" si="20"/>
        <v>2.8096675905614106</v>
      </c>
      <c r="Q307" s="11">
        <f t="shared" si="21"/>
        <v>0.66053683385579942</v>
      </c>
      <c r="R307" s="13">
        <f t="shared" si="22"/>
        <v>4.9056093124772646</v>
      </c>
      <c r="S307" s="4">
        <f t="shared" si="23"/>
        <v>1.3534479945897526</v>
      </c>
      <c r="T307" s="19" t="str">
        <f t="shared" si="24"/>
        <v>🟡 Mid</v>
      </c>
    </row>
    <row r="308" spans="1:20" x14ac:dyDescent="0.3">
      <c r="A308" s="16">
        <v>307</v>
      </c>
      <c r="B308" s="1" t="s">
        <v>98</v>
      </c>
      <c r="C308" s="1" t="s">
        <v>36</v>
      </c>
      <c r="D308" s="1" t="s">
        <v>22</v>
      </c>
      <c r="E308" s="1" t="s">
        <v>42</v>
      </c>
      <c r="F308" s="1" t="s">
        <v>31</v>
      </c>
      <c r="G308" s="1" t="s">
        <v>50</v>
      </c>
      <c r="H308" s="1" t="s">
        <v>26</v>
      </c>
      <c r="I308" s="1" t="s">
        <v>27</v>
      </c>
      <c r="J308" s="5">
        <v>2023</v>
      </c>
      <c r="K308" s="1">
        <v>15700.76</v>
      </c>
      <c r="L308" s="1">
        <v>83693</v>
      </c>
      <c r="M308" s="1">
        <v>2311</v>
      </c>
      <c r="N308" s="1">
        <v>20</v>
      </c>
      <c r="O308" s="1">
        <v>10944.8</v>
      </c>
      <c r="P308" s="8">
        <f t="shared" si="20"/>
        <v>2.7612823055691633</v>
      </c>
      <c r="Q308" s="10">
        <f t="shared" si="21"/>
        <v>4.7359584595413242</v>
      </c>
      <c r="R308" s="12">
        <f t="shared" si="22"/>
        <v>547.24</v>
      </c>
      <c r="S308" s="2">
        <f t="shared" si="23"/>
        <v>1.4345406037570354</v>
      </c>
      <c r="T308" s="18" t="str">
        <f t="shared" si="24"/>
        <v>🟡 Mid</v>
      </c>
    </row>
    <row r="309" spans="1:20" x14ac:dyDescent="0.3">
      <c r="A309" s="17">
        <v>308</v>
      </c>
      <c r="B309" s="3" t="s">
        <v>77</v>
      </c>
      <c r="C309" s="3" t="s">
        <v>40</v>
      </c>
      <c r="D309" s="3" t="s">
        <v>41</v>
      </c>
      <c r="E309" s="3" t="s">
        <v>42</v>
      </c>
      <c r="F309" s="3" t="s">
        <v>24</v>
      </c>
      <c r="G309" s="3" t="s">
        <v>25</v>
      </c>
      <c r="H309" s="3" t="s">
        <v>68</v>
      </c>
      <c r="I309" s="3" t="s">
        <v>27</v>
      </c>
      <c r="J309" s="6">
        <v>2024</v>
      </c>
      <c r="K309" s="3">
        <v>7524.19</v>
      </c>
      <c r="L309" s="3">
        <v>714641</v>
      </c>
      <c r="M309" s="3">
        <v>9805</v>
      </c>
      <c r="N309" s="3">
        <v>833</v>
      </c>
      <c r="O309" s="3">
        <v>6848.42</v>
      </c>
      <c r="P309" s="9">
        <f t="shared" si="20"/>
        <v>1.3720175584664187</v>
      </c>
      <c r="Q309" s="11">
        <f t="shared" si="21"/>
        <v>0.69846200917899037</v>
      </c>
      <c r="R309" s="13">
        <f t="shared" si="22"/>
        <v>8.2213925570228099</v>
      </c>
      <c r="S309" s="4">
        <f t="shared" si="23"/>
        <v>1.0986753148901498</v>
      </c>
      <c r="T309" s="19" t="str">
        <f t="shared" si="24"/>
        <v>🔴 Low</v>
      </c>
    </row>
    <row r="310" spans="1:20" x14ac:dyDescent="0.3">
      <c r="A310" s="16">
        <v>309</v>
      </c>
      <c r="B310" s="1" t="s">
        <v>91</v>
      </c>
      <c r="C310" s="1" t="s">
        <v>36</v>
      </c>
      <c r="D310" s="1" t="s">
        <v>22</v>
      </c>
      <c r="E310" s="1" t="s">
        <v>30</v>
      </c>
      <c r="F310" s="1" t="s">
        <v>31</v>
      </c>
      <c r="G310" s="1" t="s">
        <v>25</v>
      </c>
      <c r="H310" s="1" t="s">
        <v>37</v>
      </c>
      <c r="I310" s="1" t="s">
        <v>38</v>
      </c>
      <c r="J310" s="5">
        <v>2024</v>
      </c>
      <c r="K310" s="1">
        <v>17943.29</v>
      </c>
      <c r="L310" s="1">
        <v>657011</v>
      </c>
      <c r="M310" s="1">
        <v>17783</v>
      </c>
      <c r="N310" s="1">
        <v>188</v>
      </c>
      <c r="O310" s="1">
        <v>13348.79</v>
      </c>
      <c r="P310" s="8">
        <f t="shared" si="20"/>
        <v>2.7066517912181074</v>
      </c>
      <c r="Q310" s="10">
        <f t="shared" si="21"/>
        <v>0.75064893437552727</v>
      </c>
      <c r="R310" s="12">
        <f t="shared" si="22"/>
        <v>71.004202127659582</v>
      </c>
      <c r="S310" s="2">
        <f t="shared" si="23"/>
        <v>1.3441884994819755</v>
      </c>
      <c r="T310" s="18" t="str">
        <f t="shared" si="24"/>
        <v>🟡 Mid</v>
      </c>
    </row>
    <row r="311" spans="1:20" x14ac:dyDescent="0.3">
      <c r="A311" s="17">
        <v>310</v>
      </c>
      <c r="B311" s="3" t="s">
        <v>75</v>
      </c>
      <c r="C311" s="3" t="s">
        <v>36</v>
      </c>
      <c r="D311" s="3" t="s">
        <v>41</v>
      </c>
      <c r="E311" s="3" t="s">
        <v>56</v>
      </c>
      <c r="F311" s="3" t="s">
        <v>47</v>
      </c>
      <c r="G311" s="3" t="s">
        <v>50</v>
      </c>
      <c r="H311" s="3" t="s">
        <v>54</v>
      </c>
      <c r="I311" s="3" t="s">
        <v>45</v>
      </c>
      <c r="J311" s="6">
        <v>2024</v>
      </c>
      <c r="K311" s="3">
        <v>16098.03</v>
      </c>
      <c r="L311" s="3">
        <v>685364</v>
      </c>
      <c r="M311" s="3">
        <v>24722</v>
      </c>
      <c r="N311" s="3">
        <v>3235</v>
      </c>
      <c r="O311" s="3">
        <v>10786.44</v>
      </c>
      <c r="P311" s="9">
        <f t="shared" si="20"/>
        <v>3.6071343111105922</v>
      </c>
      <c r="Q311" s="11">
        <f t="shared" si="21"/>
        <v>0.43630936008413562</v>
      </c>
      <c r="R311" s="13">
        <f t="shared" si="22"/>
        <v>3.3342936630602784</v>
      </c>
      <c r="S311" s="4">
        <f t="shared" si="23"/>
        <v>1.4924321648291743</v>
      </c>
      <c r="T311" s="19" t="str">
        <f t="shared" si="24"/>
        <v>🟢 High</v>
      </c>
    </row>
    <row r="312" spans="1:20" x14ac:dyDescent="0.3">
      <c r="A312" s="16">
        <v>311</v>
      </c>
      <c r="B312" s="1" t="s">
        <v>91</v>
      </c>
      <c r="C312" s="1" t="s">
        <v>36</v>
      </c>
      <c r="D312" s="1" t="s">
        <v>46</v>
      </c>
      <c r="E312" s="1" t="s">
        <v>42</v>
      </c>
      <c r="F312" s="1" t="s">
        <v>47</v>
      </c>
      <c r="G312" s="1" t="s">
        <v>32</v>
      </c>
      <c r="H312" s="1" t="s">
        <v>48</v>
      </c>
      <c r="I312" s="1" t="s">
        <v>34</v>
      </c>
      <c r="J312" s="5">
        <v>2024</v>
      </c>
      <c r="K312" s="1">
        <v>4034.58</v>
      </c>
      <c r="L312" s="1">
        <v>403197</v>
      </c>
      <c r="M312" s="1">
        <v>11794</v>
      </c>
      <c r="N312" s="1">
        <v>1082</v>
      </c>
      <c r="O312" s="1">
        <v>3911.84</v>
      </c>
      <c r="P312" s="8">
        <f t="shared" si="20"/>
        <v>2.9251209706421424</v>
      </c>
      <c r="Q312" s="10">
        <f t="shared" si="21"/>
        <v>0.33168051551636424</v>
      </c>
      <c r="R312" s="12">
        <f t="shared" si="22"/>
        <v>3.6153789279112756</v>
      </c>
      <c r="S312" s="2">
        <f t="shared" si="23"/>
        <v>1.0313765389177472</v>
      </c>
      <c r="T312" s="18" t="str">
        <f t="shared" si="24"/>
        <v>🟡 Mid</v>
      </c>
    </row>
    <row r="313" spans="1:20" x14ac:dyDescent="0.3">
      <c r="A313" s="17">
        <v>312</v>
      </c>
      <c r="B313" s="3" t="s">
        <v>69</v>
      </c>
      <c r="C313" s="3" t="s">
        <v>21</v>
      </c>
      <c r="D313" s="3" t="s">
        <v>41</v>
      </c>
      <c r="E313" s="3" t="s">
        <v>56</v>
      </c>
      <c r="F313" s="3" t="s">
        <v>24</v>
      </c>
      <c r="G313" s="3" t="s">
        <v>50</v>
      </c>
      <c r="H313" s="3" t="s">
        <v>48</v>
      </c>
      <c r="I313" s="3" t="s">
        <v>34</v>
      </c>
      <c r="J313" s="6">
        <v>2023</v>
      </c>
      <c r="K313" s="3">
        <v>1735.05</v>
      </c>
      <c r="L313" s="3">
        <v>691789</v>
      </c>
      <c r="M313" s="3">
        <v>345</v>
      </c>
      <c r="N313" s="3">
        <v>29</v>
      </c>
      <c r="O313" s="3">
        <v>1554.46</v>
      </c>
      <c r="P313" s="9">
        <f t="shared" si="20"/>
        <v>4.987069756818914E-2</v>
      </c>
      <c r="Q313" s="11">
        <f t="shared" si="21"/>
        <v>4.5056811594202903</v>
      </c>
      <c r="R313" s="13">
        <f t="shared" si="22"/>
        <v>53.60206896551724</v>
      </c>
      <c r="S313" s="4">
        <f t="shared" si="23"/>
        <v>1.1161753920975772</v>
      </c>
      <c r="T313" s="19" t="str">
        <f t="shared" si="24"/>
        <v>🔴 Low</v>
      </c>
    </row>
    <row r="314" spans="1:20" x14ac:dyDescent="0.3">
      <c r="A314" s="16">
        <v>313</v>
      </c>
      <c r="B314" s="1" t="s">
        <v>63</v>
      </c>
      <c r="C314" s="1" t="s">
        <v>21</v>
      </c>
      <c r="D314" s="1" t="s">
        <v>13</v>
      </c>
      <c r="E314" s="1" t="s">
        <v>61</v>
      </c>
      <c r="F314" s="1" t="s">
        <v>31</v>
      </c>
      <c r="G314" s="1" t="s">
        <v>32</v>
      </c>
      <c r="H314" s="1" t="s">
        <v>58</v>
      </c>
      <c r="I314" s="1" t="s">
        <v>27</v>
      </c>
      <c r="J314" s="5">
        <v>2024</v>
      </c>
      <c r="K314" s="1">
        <v>13403.41</v>
      </c>
      <c r="L314" s="1">
        <v>265651</v>
      </c>
      <c r="M314" s="1">
        <v>132</v>
      </c>
      <c r="N314" s="1">
        <v>12</v>
      </c>
      <c r="O314" s="1">
        <v>8878.89</v>
      </c>
      <c r="P314" s="8">
        <f t="shared" si="20"/>
        <v>4.9689253945966703E-2</v>
      </c>
      <c r="Q314" s="10">
        <f t="shared" si="21"/>
        <v>67.264318181818183</v>
      </c>
      <c r="R314" s="12">
        <f t="shared" si="22"/>
        <v>739.90749999999991</v>
      </c>
      <c r="S314" s="2">
        <f t="shared" si="23"/>
        <v>1.5095817157324847</v>
      </c>
      <c r="T314" s="18" t="str">
        <f t="shared" si="24"/>
        <v>🔴 Low</v>
      </c>
    </row>
    <row r="315" spans="1:20" x14ac:dyDescent="0.3">
      <c r="A315" s="17">
        <v>314</v>
      </c>
      <c r="B315" s="3" t="s">
        <v>28</v>
      </c>
      <c r="C315" s="3" t="s">
        <v>21</v>
      </c>
      <c r="D315" s="3" t="s">
        <v>22</v>
      </c>
      <c r="E315" s="3" t="s">
        <v>30</v>
      </c>
      <c r="F315" s="3" t="s">
        <v>31</v>
      </c>
      <c r="G315" s="3" t="s">
        <v>50</v>
      </c>
      <c r="H315" s="3" t="s">
        <v>48</v>
      </c>
      <c r="I315" s="3" t="s">
        <v>34</v>
      </c>
      <c r="J315" s="6">
        <v>2023</v>
      </c>
      <c r="K315" s="3">
        <v>1959.87</v>
      </c>
      <c r="L315" s="3">
        <v>520530</v>
      </c>
      <c r="M315" s="3">
        <v>4079</v>
      </c>
      <c r="N315" s="3">
        <v>40</v>
      </c>
      <c r="O315" s="3">
        <v>1448.3</v>
      </c>
      <c r="P315" s="9">
        <f t="shared" si="20"/>
        <v>0.78362438284056635</v>
      </c>
      <c r="Q315" s="11">
        <f t="shared" si="21"/>
        <v>0.35506251532238292</v>
      </c>
      <c r="R315" s="13">
        <f t="shared" si="22"/>
        <v>36.207499999999996</v>
      </c>
      <c r="S315" s="4">
        <f t="shared" si="23"/>
        <v>1.3532210177449424</v>
      </c>
      <c r="T315" s="19" t="str">
        <f t="shared" si="24"/>
        <v>🔴 Low</v>
      </c>
    </row>
    <row r="316" spans="1:20" x14ac:dyDescent="0.3">
      <c r="A316" s="16">
        <v>315</v>
      </c>
      <c r="B316" s="1" t="s">
        <v>51</v>
      </c>
      <c r="C316" s="1" t="s">
        <v>40</v>
      </c>
      <c r="D316" s="1" t="s">
        <v>29</v>
      </c>
      <c r="E316" s="1" t="s">
        <v>30</v>
      </c>
      <c r="F316" s="1" t="s">
        <v>31</v>
      </c>
      <c r="G316" s="1" t="s">
        <v>50</v>
      </c>
      <c r="H316" s="1" t="s">
        <v>33</v>
      </c>
      <c r="I316" s="1" t="s">
        <v>34</v>
      </c>
      <c r="J316" s="5">
        <v>2023</v>
      </c>
      <c r="K316" s="1">
        <v>2037.2</v>
      </c>
      <c r="L316" s="1">
        <v>470765</v>
      </c>
      <c r="M316" s="1">
        <v>8344</v>
      </c>
      <c r="N316" s="1">
        <v>297</v>
      </c>
      <c r="O316" s="1">
        <v>1604.84</v>
      </c>
      <c r="P316" s="8">
        <f t="shared" si="20"/>
        <v>1.7724342293925843</v>
      </c>
      <c r="Q316" s="10">
        <f t="shared" si="21"/>
        <v>0.19233461169702779</v>
      </c>
      <c r="R316" s="12">
        <f t="shared" si="22"/>
        <v>5.4035016835016831</v>
      </c>
      <c r="S316" s="2">
        <f t="shared" si="23"/>
        <v>1.2694100346451984</v>
      </c>
      <c r="T316" s="18" t="str">
        <f t="shared" si="24"/>
        <v>🟡 Mid</v>
      </c>
    </row>
    <row r="317" spans="1:20" x14ac:dyDescent="0.3">
      <c r="A317" s="17">
        <v>316</v>
      </c>
      <c r="B317" s="3" t="s">
        <v>89</v>
      </c>
      <c r="C317" s="3" t="s">
        <v>36</v>
      </c>
      <c r="D317" s="3" t="s">
        <v>22</v>
      </c>
      <c r="E317" s="3" t="s">
        <v>42</v>
      </c>
      <c r="F317" s="3" t="s">
        <v>47</v>
      </c>
      <c r="G317" s="3" t="s">
        <v>50</v>
      </c>
      <c r="H317" s="3" t="s">
        <v>68</v>
      </c>
      <c r="I317" s="3" t="s">
        <v>27</v>
      </c>
      <c r="J317" s="6">
        <v>2023</v>
      </c>
      <c r="K317" s="3">
        <v>16605.22</v>
      </c>
      <c r="L317" s="3">
        <v>638553</v>
      </c>
      <c r="M317" s="3">
        <v>14577</v>
      </c>
      <c r="N317" s="3">
        <v>283</v>
      </c>
      <c r="O317" s="3">
        <v>14409.45</v>
      </c>
      <c r="P317" s="9">
        <f t="shared" si="20"/>
        <v>2.2828175578221388</v>
      </c>
      <c r="Q317" s="11">
        <f t="shared" si="21"/>
        <v>0.98850586540440422</v>
      </c>
      <c r="R317" s="13">
        <f t="shared" si="22"/>
        <v>50.916784452296824</v>
      </c>
      <c r="S317" s="4">
        <f t="shared" si="23"/>
        <v>1.1523840257608722</v>
      </c>
      <c r="T317" s="19" t="str">
        <f t="shared" si="24"/>
        <v>🟡 Mid</v>
      </c>
    </row>
    <row r="318" spans="1:20" x14ac:dyDescent="0.3">
      <c r="A318" s="16">
        <v>317</v>
      </c>
      <c r="B318" s="1" t="s">
        <v>63</v>
      </c>
      <c r="C318" s="1" t="s">
        <v>21</v>
      </c>
      <c r="D318" s="1" t="s">
        <v>41</v>
      </c>
      <c r="E318" s="1" t="s">
        <v>23</v>
      </c>
      <c r="F318" s="1" t="s">
        <v>47</v>
      </c>
      <c r="G318" s="1" t="s">
        <v>57</v>
      </c>
      <c r="H318" s="1" t="s">
        <v>83</v>
      </c>
      <c r="I318" s="1" t="s">
        <v>38</v>
      </c>
      <c r="J318" s="5">
        <v>2024</v>
      </c>
      <c r="K318" s="1">
        <v>6973.47</v>
      </c>
      <c r="L318" s="1">
        <v>654863</v>
      </c>
      <c r="M318" s="1">
        <v>376</v>
      </c>
      <c r="N318" s="1">
        <v>33</v>
      </c>
      <c r="O318" s="1">
        <v>5509.49</v>
      </c>
      <c r="P318" s="8">
        <f t="shared" si="20"/>
        <v>5.7416589424047468E-2</v>
      </c>
      <c r="Q318" s="10">
        <f t="shared" si="21"/>
        <v>14.652898936170212</v>
      </c>
      <c r="R318" s="12">
        <f t="shared" si="22"/>
        <v>166.95424242424241</v>
      </c>
      <c r="S318" s="2">
        <f t="shared" si="23"/>
        <v>1.2657196945633806</v>
      </c>
      <c r="T318" s="18" t="str">
        <f t="shared" si="24"/>
        <v>🔴 Low</v>
      </c>
    </row>
    <row r="319" spans="1:20" x14ac:dyDescent="0.3">
      <c r="A319" s="17">
        <v>318</v>
      </c>
      <c r="B319" s="3" t="s">
        <v>97</v>
      </c>
      <c r="C319" s="3" t="s">
        <v>36</v>
      </c>
      <c r="D319" s="3" t="s">
        <v>22</v>
      </c>
      <c r="E319" s="3" t="s">
        <v>23</v>
      </c>
      <c r="F319" s="3" t="s">
        <v>47</v>
      </c>
      <c r="G319" s="3" t="s">
        <v>43</v>
      </c>
      <c r="H319" s="3" t="s">
        <v>81</v>
      </c>
      <c r="I319" s="3" t="s">
        <v>34</v>
      </c>
      <c r="J319" s="6">
        <v>2024</v>
      </c>
      <c r="K319" s="3">
        <v>14190.87</v>
      </c>
      <c r="L319" s="3">
        <v>53001</v>
      </c>
      <c r="M319" s="3">
        <v>1236</v>
      </c>
      <c r="N319" s="3">
        <v>22</v>
      </c>
      <c r="O319" s="3">
        <v>11449.44</v>
      </c>
      <c r="P319" s="9">
        <f t="shared" si="20"/>
        <v>2.3320314711043189</v>
      </c>
      <c r="Q319" s="11">
        <f t="shared" si="21"/>
        <v>9.2633009708737877</v>
      </c>
      <c r="R319" s="13">
        <f t="shared" si="22"/>
        <v>520.42909090909097</v>
      </c>
      <c r="S319" s="4">
        <f t="shared" si="23"/>
        <v>1.2394379113738314</v>
      </c>
      <c r="T319" s="19" t="str">
        <f t="shared" si="24"/>
        <v>🟡 Mid</v>
      </c>
    </row>
    <row r="320" spans="1:20" x14ac:dyDescent="0.3">
      <c r="A320" s="16">
        <v>319</v>
      </c>
      <c r="B320" s="1" t="s">
        <v>90</v>
      </c>
      <c r="C320" s="1" t="s">
        <v>21</v>
      </c>
      <c r="D320" s="1" t="s">
        <v>22</v>
      </c>
      <c r="E320" s="1" t="s">
        <v>23</v>
      </c>
      <c r="F320" s="1" t="s">
        <v>31</v>
      </c>
      <c r="G320" s="1" t="s">
        <v>25</v>
      </c>
      <c r="H320" s="1" t="s">
        <v>83</v>
      </c>
      <c r="I320" s="1" t="s">
        <v>38</v>
      </c>
      <c r="J320" s="5">
        <v>2023</v>
      </c>
      <c r="K320" s="1">
        <v>18639.22</v>
      </c>
      <c r="L320" s="1">
        <v>416981</v>
      </c>
      <c r="M320" s="1">
        <v>3753</v>
      </c>
      <c r="N320" s="1">
        <v>29</v>
      </c>
      <c r="O320" s="1">
        <v>13829.04</v>
      </c>
      <c r="P320" s="8">
        <f t="shared" si="20"/>
        <v>0.90004100906276308</v>
      </c>
      <c r="Q320" s="10">
        <f t="shared" si="21"/>
        <v>3.6847961630695445</v>
      </c>
      <c r="R320" s="12">
        <f t="shared" si="22"/>
        <v>476.86344827586208</v>
      </c>
      <c r="S320" s="2">
        <f t="shared" si="23"/>
        <v>1.3478318090048189</v>
      </c>
      <c r="T320" s="18" t="str">
        <f t="shared" si="24"/>
        <v>🔴 Low</v>
      </c>
    </row>
    <row r="321" spans="1:20" x14ac:dyDescent="0.3">
      <c r="A321" s="17">
        <v>320</v>
      </c>
      <c r="B321" s="3" t="s">
        <v>51</v>
      </c>
      <c r="C321" s="3" t="s">
        <v>40</v>
      </c>
      <c r="D321" s="3" t="s">
        <v>29</v>
      </c>
      <c r="E321" s="3" t="s">
        <v>42</v>
      </c>
      <c r="F321" s="3" t="s">
        <v>47</v>
      </c>
      <c r="G321" s="3" t="s">
        <v>50</v>
      </c>
      <c r="H321" s="3" t="s">
        <v>44</v>
      </c>
      <c r="I321" s="3" t="s">
        <v>45</v>
      </c>
      <c r="J321" s="6">
        <v>2023</v>
      </c>
      <c r="K321" s="3">
        <v>19295.169999999998</v>
      </c>
      <c r="L321" s="3">
        <v>9548</v>
      </c>
      <c r="M321" s="3">
        <v>239</v>
      </c>
      <c r="N321" s="3">
        <v>6</v>
      </c>
      <c r="O321" s="3">
        <v>11970.72</v>
      </c>
      <c r="P321" s="9">
        <f t="shared" si="20"/>
        <v>2.5031420192710518</v>
      </c>
      <c r="Q321" s="11">
        <f t="shared" si="21"/>
        <v>50.08669456066945</v>
      </c>
      <c r="R321" s="13">
        <f t="shared" si="22"/>
        <v>1995.12</v>
      </c>
      <c r="S321" s="4">
        <f t="shared" si="23"/>
        <v>1.6118637809588729</v>
      </c>
      <c r="T321" s="19" t="str">
        <f t="shared" si="24"/>
        <v>🟡 Mid</v>
      </c>
    </row>
    <row r="322" spans="1:20" x14ac:dyDescent="0.3">
      <c r="A322" s="16">
        <v>321</v>
      </c>
      <c r="B322" s="1" t="s">
        <v>67</v>
      </c>
      <c r="C322" s="1" t="s">
        <v>40</v>
      </c>
      <c r="D322" s="1" t="s">
        <v>29</v>
      </c>
      <c r="E322" s="1" t="s">
        <v>30</v>
      </c>
      <c r="F322" s="1" t="s">
        <v>31</v>
      </c>
      <c r="G322" s="1" t="s">
        <v>32</v>
      </c>
      <c r="H322" s="1" t="s">
        <v>26</v>
      </c>
      <c r="I322" s="1" t="s">
        <v>27</v>
      </c>
      <c r="J322" s="5">
        <v>2023</v>
      </c>
      <c r="K322" s="1">
        <v>2519.3000000000002</v>
      </c>
      <c r="L322" s="1">
        <v>694461</v>
      </c>
      <c r="M322" s="1">
        <v>5310</v>
      </c>
      <c r="N322" s="1">
        <v>133</v>
      </c>
      <c r="O322" s="1">
        <v>1918.59</v>
      </c>
      <c r="P322" s="8">
        <f t="shared" ref="P322:P385" si="25">IFERROR(M322/L322*100,0)</f>
        <v>0.76462177141696941</v>
      </c>
      <c r="Q322" s="10">
        <f t="shared" ref="Q322:Q385" si="26">IFERROR(O322/M322,0)</f>
        <v>0.36131638418079093</v>
      </c>
      <c r="R322" s="12">
        <f t="shared" ref="R322:R385" si="27">IFERROR(O322/N322,"-")</f>
        <v>14.425488721804511</v>
      </c>
      <c r="S322" s="2">
        <f t="shared" ref="S322:S385" si="28">IFERROR(K322/O322,0)</f>
        <v>1.3130997242766824</v>
      </c>
      <c r="T322" s="18" t="str">
        <f t="shared" ref="T322:T385" si="29">IF(P322&gt;=3,"🟢 High",IF(P322&gt;=1.5,"🟡 Mid","🔴 Low"))</f>
        <v>🔴 Low</v>
      </c>
    </row>
    <row r="323" spans="1:20" x14ac:dyDescent="0.3">
      <c r="A323" s="17">
        <v>322</v>
      </c>
      <c r="B323" s="3" t="s">
        <v>64</v>
      </c>
      <c r="C323" s="3" t="s">
        <v>21</v>
      </c>
      <c r="D323" s="3" t="s">
        <v>13</v>
      </c>
      <c r="E323" s="3" t="s">
        <v>56</v>
      </c>
      <c r="F323" s="3" t="s">
        <v>47</v>
      </c>
      <c r="G323" s="3" t="s">
        <v>43</v>
      </c>
      <c r="H323" s="3" t="s">
        <v>48</v>
      </c>
      <c r="I323" s="3" t="s">
        <v>34</v>
      </c>
      <c r="J323" s="6">
        <v>2023</v>
      </c>
      <c r="K323" s="3">
        <v>3194.51</v>
      </c>
      <c r="L323" s="3">
        <v>636792</v>
      </c>
      <c r="M323" s="3">
        <v>564</v>
      </c>
      <c r="N323" s="3">
        <v>55</v>
      </c>
      <c r="O323" s="3">
        <v>2920.87</v>
      </c>
      <c r="P323" s="9">
        <f t="shared" si="25"/>
        <v>8.8568951871254659E-2</v>
      </c>
      <c r="Q323" s="11">
        <f t="shared" si="26"/>
        <v>5.178847517730496</v>
      </c>
      <c r="R323" s="13">
        <f t="shared" si="27"/>
        <v>53.106727272727269</v>
      </c>
      <c r="S323" s="4">
        <f t="shared" si="28"/>
        <v>1.0936844159445647</v>
      </c>
      <c r="T323" s="19" t="str">
        <f t="shared" si="29"/>
        <v>🔴 Low</v>
      </c>
    </row>
    <row r="324" spans="1:20" x14ac:dyDescent="0.3">
      <c r="A324" s="16">
        <v>323</v>
      </c>
      <c r="B324" s="1" t="s">
        <v>96</v>
      </c>
      <c r="C324" s="1" t="s">
        <v>40</v>
      </c>
      <c r="D324" s="1" t="s">
        <v>29</v>
      </c>
      <c r="E324" s="1" t="s">
        <v>30</v>
      </c>
      <c r="F324" s="1" t="s">
        <v>24</v>
      </c>
      <c r="G324" s="1" t="s">
        <v>25</v>
      </c>
      <c r="H324" s="1" t="s">
        <v>79</v>
      </c>
      <c r="I324" s="1" t="s">
        <v>45</v>
      </c>
      <c r="J324" s="5">
        <v>2024</v>
      </c>
      <c r="K324" s="1">
        <v>13888.92</v>
      </c>
      <c r="L324" s="1">
        <v>710034</v>
      </c>
      <c r="M324" s="1">
        <v>15117</v>
      </c>
      <c r="N324" s="1">
        <v>593</v>
      </c>
      <c r="O324" s="1">
        <v>9370.6</v>
      </c>
      <c r="P324" s="8">
        <f t="shared" si="25"/>
        <v>2.1290529749279612</v>
      </c>
      <c r="Q324" s="10">
        <f t="shared" si="26"/>
        <v>0.61987166765892709</v>
      </c>
      <c r="R324" s="12">
        <f t="shared" si="27"/>
        <v>15.802023608768971</v>
      </c>
      <c r="S324" s="2">
        <f t="shared" si="28"/>
        <v>1.4821804366849507</v>
      </c>
      <c r="T324" s="18" t="str">
        <f t="shared" si="29"/>
        <v>🟡 Mid</v>
      </c>
    </row>
    <row r="325" spans="1:20" x14ac:dyDescent="0.3">
      <c r="A325" s="17">
        <v>324</v>
      </c>
      <c r="B325" s="3" t="s">
        <v>78</v>
      </c>
      <c r="C325" s="3" t="s">
        <v>21</v>
      </c>
      <c r="D325" s="3" t="s">
        <v>22</v>
      </c>
      <c r="E325" s="3" t="s">
        <v>23</v>
      </c>
      <c r="F325" s="3" t="s">
        <v>31</v>
      </c>
      <c r="G325" s="3" t="s">
        <v>50</v>
      </c>
      <c r="H325" s="3" t="s">
        <v>79</v>
      </c>
      <c r="I325" s="3" t="s">
        <v>45</v>
      </c>
      <c r="J325" s="6">
        <v>2024</v>
      </c>
      <c r="K325" s="3">
        <v>13647.75</v>
      </c>
      <c r="L325" s="3">
        <v>564837</v>
      </c>
      <c r="M325" s="3">
        <v>7245</v>
      </c>
      <c r="N325" s="3">
        <v>67</v>
      </c>
      <c r="O325" s="3">
        <v>13045.43</v>
      </c>
      <c r="P325" s="9">
        <f t="shared" si="25"/>
        <v>1.2826709298434771</v>
      </c>
      <c r="Q325" s="11">
        <f t="shared" si="26"/>
        <v>1.8006114561766735</v>
      </c>
      <c r="R325" s="13">
        <f t="shared" si="27"/>
        <v>194.70791044776121</v>
      </c>
      <c r="S325" s="4">
        <f t="shared" si="28"/>
        <v>1.0461709579523251</v>
      </c>
      <c r="T325" s="19" t="str">
        <f t="shared" si="29"/>
        <v>🔴 Low</v>
      </c>
    </row>
    <row r="326" spans="1:20" x14ac:dyDescent="0.3">
      <c r="A326" s="16">
        <v>325</v>
      </c>
      <c r="B326" s="1" t="s">
        <v>88</v>
      </c>
      <c r="C326" s="1" t="s">
        <v>36</v>
      </c>
      <c r="D326" s="1" t="s">
        <v>22</v>
      </c>
      <c r="E326" s="1" t="s">
        <v>56</v>
      </c>
      <c r="F326" s="1" t="s">
        <v>24</v>
      </c>
      <c r="G326" s="1" t="s">
        <v>57</v>
      </c>
      <c r="H326" s="1" t="s">
        <v>44</v>
      </c>
      <c r="I326" s="1" t="s">
        <v>45</v>
      </c>
      <c r="J326" s="5">
        <v>2023</v>
      </c>
      <c r="K326" s="1">
        <v>4398.1000000000004</v>
      </c>
      <c r="L326" s="1">
        <v>791626</v>
      </c>
      <c r="M326" s="1">
        <v>24676</v>
      </c>
      <c r="N326" s="1">
        <v>376</v>
      </c>
      <c r="O326" s="1">
        <v>2909.34</v>
      </c>
      <c r="P326" s="8">
        <f t="shared" si="25"/>
        <v>3.1171285430241049</v>
      </c>
      <c r="Q326" s="10">
        <f t="shared" si="26"/>
        <v>0.11790160479818447</v>
      </c>
      <c r="R326" s="12">
        <f t="shared" si="27"/>
        <v>7.7376063829787238</v>
      </c>
      <c r="S326" s="2">
        <f t="shared" si="28"/>
        <v>1.5117174341946971</v>
      </c>
      <c r="T326" s="18" t="str">
        <f t="shared" si="29"/>
        <v>🟢 High</v>
      </c>
    </row>
    <row r="327" spans="1:20" x14ac:dyDescent="0.3">
      <c r="A327" s="17">
        <v>326</v>
      </c>
      <c r="B327" s="3" t="s">
        <v>71</v>
      </c>
      <c r="C327" s="3" t="s">
        <v>36</v>
      </c>
      <c r="D327" s="3" t="s">
        <v>46</v>
      </c>
      <c r="E327" s="3" t="s">
        <v>61</v>
      </c>
      <c r="F327" s="3" t="s">
        <v>24</v>
      </c>
      <c r="G327" s="3" t="s">
        <v>43</v>
      </c>
      <c r="H327" s="3" t="s">
        <v>48</v>
      </c>
      <c r="I327" s="3" t="s">
        <v>34</v>
      </c>
      <c r="J327" s="6">
        <v>2023</v>
      </c>
      <c r="K327" s="3">
        <v>12514.12</v>
      </c>
      <c r="L327" s="3">
        <v>713340</v>
      </c>
      <c r="M327" s="3">
        <v>10005</v>
      </c>
      <c r="N327" s="3">
        <v>844</v>
      </c>
      <c r="O327" s="3">
        <v>12054.02</v>
      </c>
      <c r="P327" s="9">
        <f t="shared" si="25"/>
        <v>1.4025569854487341</v>
      </c>
      <c r="Q327" s="11">
        <f t="shared" si="26"/>
        <v>1.2047996001999002</v>
      </c>
      <c r="R327" s="13">
        <f t="shared" si="27"/>
        <v>14.282014218009479</v>
      </c>
      <c r="S327" s="4">
        <f t="shared" si="28"/>
        <v>1.0381698387757778</v>
      </c>
      <c r="T327" s="19" t="str">
        <f t="shared" si="29"/>
        <v>🔴 Low</v>
      </c>
    </row>
    <row r="328" spans="1:20" x14ac:dyDescent="0.3">
      <c r="A328" s="16">
        <v>327</v>
      </c>
      <c r="B328" s="1" t="s">
        <v>90</v>
      </c>
      <c r="C328" s="1" t="s">
        <v>21</v>
      </c>
      <c r="D328" s="1" t="s">
        <v>46</v>
      </c>
      <c r="E328" s="1" t="s">
        <v>61</v>
      </c>
      <c r="F328" s="1" t="s">
        <v>31</v>
      </c>
      <c r="G328" s="1" t="s">
        <v>43</v>
      </c>
      <c r="H328" s="1" t="s">
        <v>54</v>
      </c>
      <c r="I328" s="1" t="s">
        <v>45</v>
      </c>
      <c r="J328" s="5">
        <v>2023</v>
      </c>
      <c r="K328" s="1">
        <v>18566.45</v>
      </c>
      <c r="L328" s="1">
        <v>411380</v>
      </c>
      <c r="M328" s="1">
        <v>205</v>
      </c>
      <c r="N328" s="1">
        <v>16</v>
      </c>
      <c r="O328" s="1">
        <v>18671.349999999999</v>
      </c>
      <c r="P328" s="8">
        <f t="shared" si="25"/>
        <v>4.9832271865428553E-2</v>
      </c>
      <c r="Q328" s="10">
        <f t="shared" si="26"/>
        <v>91.079756097560974</v>
      </c>
      <c r="R328" s="12">
        <f t="shared" si="27"/>
        <v>1166.9593749999999</v>
      </c>
      <c r="S328" s="2">
        <f t="shared" si="28"/>
        <v>0.99438176671745759</v>
      </c>
      <c r="T328" s="18" t="str">
        <f t="shared" si="29"/>
        <v>🔴 Low</v>
      </c>
    </row>
    <row r="329" spans="1:20" x14ac:dyDescent="0.3">
      <c r="A329" s="17">
        <v>328</v>
      </c>
      <c r="B329" s="3" t="s">
        <v>91</v>
      </c>
      <c r="C329" s="3" t="s">
        <v>36</v>
      </c>
      <c r="D329" s="3" t="s">
        <v>13</v>
      </c>
      <c r="E329" s="3" t="s">
        <v>30</v>
      </c>
      <c r="F329" s="3" t="s">
        <v>31</v>
      </c>
      <c r="G329" s="3" t="s">
        <v>50</v>
      </c>
      <c r="H329" s="3" t="s">
        <v>83</v>
      </c>
      <c r="I329" s="3" t="s">
        <v>38</v>
      </c>
      <c r="J329" s="6">
        <v>2024</v>
      </c>
      <c r="K329" s="3">
        <v>15224.6</v>
      </c>
      <c r="L329" s="3">
        <v>578167</v>
      </c>
      <c r="M329" s="3">
        <v>18737</v>
      </c>
      <c r="N329" s="3">
        <v>1905</v>
      </c>
      <c r="O329" s="3">
        <v>10391.049999999999</v>
      </c>
      <c r="P329" s="9">
        <f t="shared" si="25"/>
        <v>3.2407591578211834</v>
      </c>
      <c r="Q329" s="11">
        <f t="shared" si="26"/>
        <v>0.55457383786091685</v>
      </c>
      <c r="R329" s="13">
        <f t="shared" si="27"/>
        <v>5.4546194225721782</v>
      </c>
      <c r="S329" s="4">
        <f t="shared" si="28"/>
        <v>1.4651647331116684</v>
      </c>
      <c r="T329" s="19" t="str">
        <f t="shared" si="29"/>
        <v>🟢 High</v>
      </c>
    </row>
    <row r="330" spans="1:20" x14ac:dyDescent="0.3">
      <c r="A330" s="16">
        <v>329</v>
      </c>
      <c r="B330" s="1" t="s">
        <v>64</v>
      </c>
      <c r="C330" s="1" t="s">
        <v>21</v>
      </c>
      <c r="D330" s="1" t="s">
        <v>13</v>
      </c>
      <c r="E330" s="1" t="s">
        <v>56</v>
      </c>
      <c r="F330" s="1" t="s">
        <v>24</v>
      </c>
      <c r="G330" s="1" t="s">
        <v>57</v>
      </c>
      <c r="H330" s="1" t="s">
        <v>26</v>
      </c>
      <c r="I330" s="1" t="s">
        <v>27</v>
      </c>
      <c r="J330" s="5">
        <v>2023</v>
      </c>
      <c r="K330" s="1">
        <v>14834.05</v>
      </c>
      <c r="L330" s="1">
        <v>130151</v>
      </c>
      <c r="M330" s="1">
        <v>417</v>
      </c>
      <c r="N330" s="1">
        <v>37</v>
      </c>
      <c r="O330" s="1">
        <v>9710.7800000000007</v>
      </c>
      <c r="P330" s="8">
        <f t="shared" si="25"/>
        <v>0.32039707724105082</v>
      </c>
      <c r="Q330" s="10">
        <f t="shared" si="26"/>
        <v>23.287242206235014</v>
      </c>
      <c r="R330" s="12">
        <f t="shared" si="27"/>
        <v>262.45351351351354</v>
      </c>
      <c r="S330" s="2">
        <f t="shared" si="28"/>
        <v>1.5275858375949201</v>
      </c>
      <c r="T330" s="18" t="str">
        <f t="shared" si="29"/>
        <v>🔴 Low</v>
      </c>
    </row>
    <row r="331" spans="1:20" x14ac:dyDescent="0.3">
      <c r="A331" s="17">
        <v>330</v>
      </c>
      <c r="B331" s="3" t="s">
        <v>73</v>
      </c>
      <c r="C331" s="3" t="s">
        <v>21</v>
      </c>
      <c r="D331" s="3" t="s">
        <v>22</v>
      </c>
      <c r="E331" s="3" t="s">
        <v>23</v>
      </c>
      <c r="F331" s="3" t="s">
        <v>47</v>
      </c>
      <c r="G331" s="3" t="s">
        <v>25</v>
      </c>
      <c r="H331" s="3" t="s">
        <v>68</v>
      </c>
      <c r="I331" s="3" t="s">
        <v>27</v>
      </c>
      <c r="J331" s="6">
        <v>2023</v>
      </c>
      <c r="K331" s="3">
        <v>18608.25</v>
      </c>
      <c r="L331" s="3">
        <v>630874</v>
      </c>
      <c r="M331" s="3">
        <v>6742</v>
      </c>
      <c r="N331" s="3">
        <v>38</v>
      </c>
      <c r="O331" s="3">
        <v>18451.95</v>
      </c>
      <c r="P331" s="9">
        <f t="shared" si="25"/>
        <v>1.0686761540339274</v>
      </c>
      <c r="Q331" s="11">
        <f t="shared" si="26"/>
        <v>2.7368659151587069</v>
      </c>
      <c r="R331" s="13">
        <f t="shared" si="27"/>
        <v>485.57763157894738</v>
      </c>
      <c r="S331" s="4">
        <f t="shared" si="28"/>
        <v>1.0084706494435547</v>
      </c>
      <c r="T331" s="19" t="str">
        <f t="shared" si="29"/>
        <v>🔴 Low</v>
      </c>
    </row>
    <row r="332" spans="1:20" x14ac:dyDescent="0.3">
      <c r="A332" s="16">
        <v>331</v>
      </c>
      <c r="B332" s="1" t="s">
        <v>59</v>
      </c>
      <c r="C332" s="1" t="s">
        <v>21</v>
      </c>
      <c r="D332" s="1" t="s">
        <v>41</v>
      </c>
      <c r="E332" s="1" t="s">
        <v>61</v>
      </c>
      <c r="F332" s="1" t="s">
        <v>31</v>
      </c>
      <c r="G332" s="1" t="s">
        <v>43</v>
      </c>
      <c r="H332" s="1" t="s">
        <v>58</v>
      </c>
      <c r="I332" s="1" t="s">
        <v>27</v>
      </c>
      <c r="J332" s="5">
        <v>2024</v>
      </c>
      <c r="K332" s="1">
        <v>10745.2</v>
      </c>
      <c r="L332" s="1">
        <v>197800</v>
      </c>
      <c r="M332" s="1">
        <v>98</v>
      </c>
      <c r="N332" s="1">
        <v>7</v>
      </c>
      <c r="O332" s="1">
        <v>8898.0300000000007</v>
      </c>
      <c r="P332" s="8">
        <f t="shared" si="25"/>
        <v>4.9544994944388271E-2</v>
      </c>
      <c r="Q332" s="10">
        <f t="shared" si="26"/>
        <v>90.796224489795918</v>
      </c>
      <c r="R332" s="12">
        <f t="shared" si="27"/>
        <v>1271.1471428571429</v>
      </c>
      <c r="S332" s="2">
        <f t="shared" si="28"/>
        <v>1.2075931414032095</v>
      </c>
      <c r="T332" s="18" t="str">
        <f t="shared" si="29"/>
        <v>🔴 Low</v>
      </c>
    </row>
    <row r="333" spans="1:20" x14ac:dyDescent="0.3">
      <c r="A333" s="17">
        <v>332</v>
      </c>
      <c r="B333" s="3" t="s">
        <v>39</v>
      </c>
      <c r="C333" s="3" t="s">
        <v>40</v>
      </c>
      <c r="D333" s="3" t="s">
        <v>13</v>
      </c>
      <c r="E333" s="3" t="s">
        <v>30</v>
      </c>
      <c r="F333" s="3" t="s">
        <v>24</v>
      </c>
      <c r="G333" s="3" t="s">
        <v>43</v>
      </c>
      <c r="H333" s="3" t="s">
        <v>37</v>
      </c>
      <c r="I333" s="3" t="s">
        <v>38</v>
      </c>
      <c r="J333" s="6">
        <v>2024</v>
      </c>
      <c r="K333" s="3">
        <v>6224.7</v>
      </c>
      <c r="L333" s="3">
        <v>794216</v>
      </c>
      <c r="M333" s="3">
        <v>11806</v>
      </c>
      <c r="N333" s="3">
        <v>1101</v>
      </c>
      <c r="O333" s="3">
        <v>4976.2700000000004</v>
      </c>
      <c r="P333" s="9">
        <f t="shared" si="25"/>
        <v>1.4864973760286873</v>
      </c>
      <c r="Q333" s="11">
        <f t="shared" si="26"/>
        <v>0.42150347281043543</v>
      </c>
      <c r="R333" s="13">
        <f t="shared" si="27"/>
        <v>4.5197729336966397</v>
      </c>
      <c r="S333" s="4">
        <f t="shared" si="28"/>
        <v>1.2508766606313562</v>
      </c>
      <c r="T333" s="19" t="str">
        <f t="shared" si="29"/>
        <v>🔴 Low</v>
      </c>
    </row>
    <row r="334" spans="1:20" x14ac:dyDescent="0.3">
      <c r="A334" s="16">
        <v>333</v>
      </c>
      <c r="B334" s="1" t="s">
        <v>28</v>
      </c>
      <c r="C334" s="1" t="s">
        <v>21</v>
      </c>
      <c r="D334" s="1" t="s">
        <v>22</v>
      </c>
      <c r="E334" s="1" t="s">
        <v>23</v>
      </c>
      <c r="F334" s="1" t="s">
        <v>47</v>
      </c>
      <c r="G334" s="1" t="s">
        <v>25</v>
      </c>
      <c r="H334" s="1" t="s">
        <v>44</v>
      </c>
      <c r="I334" s="1" t="s">
        <v>45</v>
      </c>
      <c r="J334" s="5">
        <v>2023</v>
      </c>
      <c r="K334" s="1">
        <v>19198.490000000002</v>
      </c>
      <c r="L334" s="1">
        <v>720706</v>
      </c>
      <c r="M334" s="1">
        <v>7703</v>
      </c>
      <c r="N334" s="1">
        <v>130</v>
      </c>
      <c r="O334" s="1">
        <v>12433.27</v>
      </c>
      <c r="P334" s="8">
        <f t="shared" si="25"/>
        <v>1.0688130805071694</v>
      </c>
      <c r="Q334" s="10">
        <f t="shared" si="26"/>
        <v>1.6140815266779178</v>
      </c>
      <c r="R334" s="12">
        <f t="shared" si="27"/>
        <v>95.640538461538469</v>
      </c>
      <c r="S334" s="2">
        <f t="shared" si="28"/>
        <v>1.5441223427143462</v>
      </c>
      <c r="T334" s="18" t="str">
        <f t="shared" si="29"/>
        <v>🔴 Low</v>
      </c>
    </row>
    <row r="335" spans="1:20" x14ac:dyDescent="0.3">
      <c r="A335" s="17">
        <v>334</v>
      </c>
      <c r="B335" s="3" t="s">
        <v>77</v>
      </c>
      <c r="C335" s="3" t="s">
        <v>40</v>
      </c>
      <c r="D335" s="3" t="s">
        <v>22</v>
      </c>
      <c r="E335" s="3" t="s">
        <v>61</v>
      </c>
      <c r="F335" s="3" t="s">
        <v>47</v>
      </c>
      <c r="G335" s="3" t="s">
        <v>32</v>
      </c>
      <c r="H335" s="3" t="s">
        <v>81</v>
      </c>
      <c r="I335" s="3" t="s">
        <v>34</v>
      </c>
      <c r="J335" s="6">
        <v>2024</v>
      </c>
      <c r="K335" s="3">
        <v>9992.69</v>
      </c>
      <c r="L335" s="3">
        <v>315833</v>
      </c>
      <c r="M335" s="3">
        <v>4034</v>
      </c>
      <c r="N335" s="3">
        <v>74</v>
      </c>
      <c r="O335" s="3">
        <v>6803.57</v>
      </c>
      <c r="P335" s="9">
        <f t="shared" si="25"/>
        <v>1.2772572847042583</v>
      </c>
      <c r="Q335" s="11">
        <f t="shared" si="26"/>
        <v>1.6865567674764501</v>
      </c>
      <c r="R335" s="13">
        <f t="shared" si="27"/>
        <v>91.940135135135137</v>
      </c>
      <c r="S335" s="4">
        <f t="shared" si="28"/>
        <v>1.4687421456676422</v>
      </c>
      <c r="T335" s="19" t="str">
        <f t="shared" si="29"/>
        <v>🔴 Low</v>
      </c>
    </row>
    <row r="336" spans="1:20" x14ac:dyDescent="0.3">
      <c r="A336" s="16">
        <v>335</v>
      </c>
      <c r="B336" s="1" t="s">
        <v>20</v>
      </c>
      <c r="C336" s="1" t="s">
        <v>21</v>
      </c>
      <c r="D336" s="1" t="s">
        <v>22</v>
      </c>
      <c r="E336" s="1" t="s">
        <v>30</v>
      </c>
      <c r="F336" s="1" t="s">
        <v>31</v>
      </c>
      <c r="G336" s="1" t="s">
        <v>32</v>
      </c>
      <c r="H336" s="1" t="s">
        <v>68</v>
      </c>
      <c r="I336" s="1" t="s">
        <v>27</v>
      </c>
      <c r="J336" s="5">
        <v>2023</v>
      </c>
      <c r="K336" s="1">
        <v>4610.24</v>
      </c>
      <c r="L336" s="1">
        <v>665093</v>
      </c>
      <c r="M336" s="1">
        <v>5638</v>
      </c>
      <c r="N336" s="1">
        <v>64</v>
      </c>
      <c r="O336" s="1">
        <v>2967.38</v>
      </c>
      <c r="P336" s="8">
        <f t="shared" si="25"/>
        <v>0.84770099820626588</v>
      </c>
      <c r="Q336" s="10">
        <f t="shared" si="26"/>
        <v>0.52631784320681096</v>
      </c>
      <c r="R336" s="12">
        <f t="shared" si="27"/>
        <v>46.365312500000002</v>
      </c>
      <c r="S336" s="2">
        <f t="shared" si="28"/>
        <v>1.5536399113022261</v>
      </c>
      <c r="T336" s="18" t="str">
        <f t="shared" si="29"/>
        <v>🔴 Low</v>
      </c>
    </row>
    <row r="337" spans="1:20" hidden="1" x14ac:dyDescent="0.3">
      <c r="A337" s="17">
        <v>336</v>
      </c>
      <c r="B337" s="3" t="s">
        <v>76</v>
      </c>
      <c r="C337" s="3" t="s">
        <v>21</v>
      </c>
      <c r="D337" s="3" t="s">
        <v>22</v>
      </c>
      <c r="E337" s="3" t="s">
        <v>30</v>
      </c>
      <c r="F337" s="3" t="s">
        <v>24</v>
      </c>
      <c r="G337" s="3" t="s">
        <v>50</v>
      </c>
      <c r="H337" s="3" t="s">
        <v>54</v>
      </c>
      <c r="I337" s="3" t="s">
        <v>45</v>
      </c>
      <c r="J337" s="6">
        <v>2024</v>
      </c>
      <c r="K337" s="3">
        <v>1238.78</v>
      </c>
      <c r="L337" s="3">
        <v>81806</v>
      </c>
      <c r="M337" s="3">
        <v>40</v>
      </c>
      <c r="N337" s="3">
        <v>0</v>
      </c>
      <c r="O337" s="3">
        <v>1156.49</v>
      </c>
      <c r="P337" s="9">
        <f t="shared" si="25"/>
        <v>4.8896168985160013E-2</v>
      </c>
      <c r="Q337" s="11">
        <f t="shared" si="26"/>
        <v>28.91225</v>
      </c>
      <c r="R337" s="13" t="str">
        <f t="shared" si="27"/>
        <v>-</v>
      </c>
      <c r="S337" s="4">
        <f t="shared" si="28"/>
        <v>1.0711549602677066</v>
      </c>
      <c r="T337" s="19" t="str">
        <f t="shared" si="29"/>
        <v>🔴 Low</v>
      </c>
    </row>
    <row r="338" spans="1:20" x14ac:dyDescent="0.3">
      <c r="A338" s="16">
        <v>337</v>
      </c>
      <c r="B338" s="1" t="s">
        <v>103</v>
      </c>
      <c r="C338" s="1" t="s">
        <v>21</v>
      </c>
      <c r="D338" s="1" t="s">
        <v>29</v>
      </c>
      <c r="E338" s="1" t="s">
        <v>30</v>
      </c>
      <c r="F338" s="1" t="s">
        <v>47</v>
      </c>
      <c r="G338" s="1" t="s">
        <v>50</v>
      </c>
      <c r="H338" s="1" t="s">
        <v>33</v>
      </c>
      <c r="I338" s="1" t="s">
        <v>34</v>
      </c>
      <c r="J338" s="5">
        <v>2024</v>
      </c>
      <c r="K338" s="1">
        <v>12789.24</v>
      </c>
      <c r="L338" s="1">
        <v>459059</v>
      </c>
      <c r="M338" s="1">
        <v>2289</v>
      </c>
      <c r="N338" s="1">
        <v>31</v>
      </c>
      <c r="O338" s="1">
        <v>7705.23</v>
      </c>
      <c r="P338" s="8">
        <f t="shared" si="25"/>
        <v>0.49862871657020119</v>
      </c>
      <c r="Q338" s="10">
        <f t="shared" si="26"/>
        <v>3.3661992136304062</v>
      </c>
      <c r="R338" s="12">
        <f t="shared" si="27"/>
        <v>248.55580645161288</v>
      </c>
      <c r="S338" s="2">
        <f t="shared" si="28"/>
        <v>1.6598128803423131</v>
      </c>
      <c r="T338" s="18" t="str">
        <f t="shared" si="29"/>
        <v>🔴 Low</v>
      </c>
    </row>
    <row r="339" spans="1:20" x14ac:dyDescent="0.3">
      <c r="A339" s="17">
        <v>338</v>
      </c>
      <c r="B339" s="3" t="s">
        <v>20</v>
      </c>
      <c r="C339" s="3" t="s">
        <v>21</v>
      </c>
      <c r="D339" s="3" t="s">
        <v>29</v>
      </c>
      <c r="E339" s="3" t="s">
        <v>42</v>
      </c>
      <c r="F339" s="3" t="s">
        <v>31</v>
      </c>
      <c r="G339" s="3" t="s">
        <v>57</v>
      </c>
      <c r="H339" s="3" t="s">
        <v>37</v>
      </c>
      <c r="I339" s="3" t="s">
        <v>38</v>
      </c>
      <c r="J339" s="6">
        <v>2023</v>
      </c>
      <c r="K339" s="3">
        <v>6151.81</v>
      </c>
      <c r="L339" s="3">
        <v>724195</v>
      </c>
      <c r="M339" s="3">
        <v>8358</v>
      </c>
      <c r="N339" s="3">
        <v>159</v>
      </c>
      <c r="O339" s="3">
        <v>3914.59</v>
      </c>
      <c r="P339" s="9">
        <f t="shared" si="25"/>
        <v>1.1541090452157223</v>
      </c>
      <c r="Q339" s="11">
        <f t="shared" si="26"/>
        <v>0.46836444125388849</v>
      </c>
      <c r="R339" s="13">
        <f t="shared" si="27"/>
        <v>24.620062893081762</v>
      </c>
      <c r="S339" s="4">
        <f t="shared" si="28"/>
        <v>1.5715081272879152</v>
      </c>
      <c r="T339" s="19" t="str">
        <f t="shared" si="29"/>
        <v>🔴 Low</v>
      </c>
    </row>
    <row r="340" spans="1:20" x14ac:dyDescent="0.3">
      <c r="A340" s="16">
        <v>339</v>
      </c>
      <c r="B340" s="1" t="s">
        <v>80</v>
      </c>
      <c r="C340" s="1" t="s">
        <v>40</v>
      </c>
      <c r="D340" s="1" t="s">
        <v>41</v>
      </c>
      <c r="E340" s="1" t="s">
        <v>42</v>
      </c>
      <c r="F340" s="1" t="s">
        <v>47</v>
      </c>
      <c r="G340" s="1" t="s">
        <v>25</v>
      </c>
      <c r="H340" s="1" t="s">
        <v>81</v>
      </c>
      <c r="I340" s="1" t="s">
        <v>34</v>
      </c>
      <c r="J340" s="5">
        <v>2023</v>
      </c>
      <c r="K340" s="1">
        <v>3159.44</v>
      </c>
      <c r="L340" s="1">
        <v>414985</v>
      </c>
      <c r="M340" s="1">
        <v>7809</v>
      </c>
      <c r="N340" s="1">
        <v>652</v>
      </c>
      <c r="O340" s="1">
        <v>2737.02</v>
      </c>
      <c r="P340" s="8">
        <f t="shared" si="25"/>
        <v>1.8817547622203212</v>
      </c>
      <c r="Q340" s="10">
        <f t="shared" si="26"/>
        <v>0.35049558202074527</v>
      </c>
      <c r="R340" s="12">
        <f t="shared" si="27"/>
        <v>4.1978834355828223</v>
      </c>
      <c r="S340" s="2">
        <f t="shared" si="28"/>
        <v>1.1543357374078378</v>
      </c>
      <c r="T340" s="18" t="str">
        <f t="shared" si="29"/>
        <v>🟡 Mid</v>
      </c>
    </row>
    <row r="341" spans="1:20" x14ac:dyDescent="0.3">
      <c r="A341" s="17">
        <v>340</v>
      </c>
      <c r="B341" s="3" t="s">
        <v>100</v>
      </c>
      <c r="C341" s="3" t="s">
        <v>40</v>
      </c>
      <c r="D341" s="3" t="s">
        <v>22</v>
      </c>
      <c r="E341" s="3" t="s">
        <v>61</v>
      </c>
      <c r="F341" s="3" t="s">
        <v>31</v>
      </c>
      <c r="G341" s="3" t="s">
        <v>25</v>
      </c>
      <c r="H341" s="3" t="s">
        <v>58</v>
      </c>
      <c r="I341" s="3" t="s">
        <v>27</v>
      </c>
      <c r="J341" s="6">
        <v>2023</v>
      </c>
      <c r="K341" s="3">
        <v>598.08000000000004</v>
      </c>
      <c r="L341" s="3">
        <v>630637</v>
      </c>
      <c r="M341" s="3">
        <v>4216</v>
      </c>
      <c r="N341" s="3">
        <v>46</v>
      </c>
      <c r="O341" s="3">
        <v>496.38</v>
      </c>
      <c r="P341" s="9">
        <f t="shared" si="25"/>
        <v>0.66853039070019671</v>
      </c>
      <c r="Q341" s="11">
        <f t="shared" si="26"/>
        <v>0.11773719165085389</v>
      </c>
      <c r="R341" s="13">
        <f t="shared" si="27"/>
        <v>10.790869565217392</v>
      </c>
      <c r="S341" s="4">
        <f t="shared" si="28"/>
        <v>1.204883355493775</v>
      </c>
      <c r="T341" s="19" t="str">
        <f t="shared" si="29"/>
        <v>🔴 Low</v>
      </c>
    </row>
    <row r="342" spans="1:20" x14ac:dyDescent="0.3">
      <c r="A342" s="16">
        <v>341</v>
      </c>
      <c r="B342" s="1" t="s">
        <v>71</v>
      </c>
      <c r="C342" s="1" t="s">
        <v>36</v>
      </c>
      <c r="D342" s="1" t="s">
        <v>46</v>
      </c>
      <c r="E342" s="1" t="s">
        <v>23</v>
      </c>
      <c r="F342" s="1" t="s">
        <v>24</v>
      </c>
      <c r="G342" s="1" t="s">
        <v>50</v>
      </c>
      <c r="H342" s="1" t="s">
        <v>44</v>
      </c>
      <c r="I342" s="1" t="s">
        <v>45</v>
      </c>
      <c r="J342" s="5">
        <v>2023</v>
      </c>
      <c r="K342" s="1">
        <v>3638.61</v>
      </c>
      <c r="L342" s="1">
        <v>236512</v>
      </c>
      <c r="M342" s="1">
        <v>5952</v>
      </c>
      <c r="N342" s="1">
        <v>279</v>
      </c>
      <c r="O342" s="1">
        <v>3208.57</v>
      </c>
      <c r="P342" s="8">
        <f t="shared" si="25"/>
        <v>2.5165742118793126</v>
      </c>
      <c r="Q342" s="10">
        <f t="shared" si="26"/>
        <v>0.53907426075268816</v>
      </c>
      <c r="R342" s="12">
        <f t="shared" si="27"/>
        <v>11.500250896057349</v>
      </c>
      <c r="S342" s="2">
        <f t="shared" si="28"/>
        <v>1.1340285547767386</v>
      </c>
      <c r="T342" s="18" t="str">
        <f t="shared" si="29"/>
        <v>🟡 Mid</v>
      </c>
    </row>
    <row r="343" spans="1:20" x14ac:dyDescent="0.3">
      <c r="A343" s="17">
        <v>342</v>
      </c>
      <c r="B343" s="3" t="s">
        <v>62</v>
      </c>
      <c r="C343" s="3" t="s">
        <v>21</v>
      </c>
      <c r="D343" s="3" t="s">
        <v>29</v>
      </c>
      <c r="E343" s="3" t="s">
        <v>56</v>
      </c>
      <c r="F343" s="3" t="s">
        <v>31</v>
      </c>
      <c r="G343" s="3" t="s">
        <v>32</v>
      </c>
      <c r="H343" s="3" t="s">
        <v>58</v>
      </c>
      <c r="I343" s="3" t="s">
        <v>27</v>
      </c>
      <c r="J343" s="6">
        <v>2024</v>
      </c>
      <c r="K343" s="3">
        <v>13597.86</v>
      </c>
      <c r="L343" s="3">
        <v>267865</v>
      </c>
      <c r="M343" s="3">
        <v>1189</v>
      </c>
      <c r="N343" s="3">
        <v>15</v>
      </c>
      <c r="O343" s="3">
        <v>12302.63</v>
      </c>
      <c r="P343" s="9">
        <f t="shared" si="25"/>
        <v>0.44388031284415652</v>
      </c>
      <c r="Q343" s="11">
        <f t="shared" si="26"/>
        <v>10.34703952901598</v>
      </c>
      <c r="R343" s="13">
        <f t="shared" si="27"/>
        <v>820.17533333333324</v>
      </c>
      <c r="S343" s="4">
        <f t="shared" si="28"/>
        <v>1.1052807407846941</v>
      </c>
      <c r="T343" s="19" t="str">
        <f t="shared" si="29"/>
        <v>🔴 Low</v>
      </c>
    </row>
    <row r="344" spans="1:20" x14ac:dyDescent="0.3">
      <c r="A344" s="16">
        <v>343</v>
      </c>
      <c r="B344" s="1" t="s">
        <v>96</v>
      </c>
      <c r="C344" s="1" t="s">
        <v>40</v>
      </c>
      <c r="D344" s="1" t="s">
        <v>13</v>
      </c>
      <c r="E344" s="1" t="s">
        <v>30</v>
      </c>
      <c r="F344" s="1" t="s">
        <v>31</v>
      </c>
      <c r="G344" s="1" t="s">
        <v>25</v>
      </c>
      <c r="H344" s="1" t="s">
        <v>58</v>
      </c>
      <c r="I344" s="1" t="s">
        <v>27</v>
      </c>
      <c r="J344" s="5">
        <v>2024</v>
      </c>
      <c r="K344" s="1">
        <v>12580.56</v>
      </c>
      <c r="L344" s="1">
        <v>207897</v>
      </c>
      <c r="M344" s="1">
        <v>2856</v>
      </c>
      <c r="N344" s="1">
        <v>266</v>
      </c>
      <c r="O344" s="1">
        <v>9163.4699999999993</v>
      </c>
      <c r="P344" s="8">
        <f t="shared" si="25"/>
        <v>1.3737571970735507</v>
      </c>
      <c r="Q344" s="10">
        <f t="shared" si="26"/>
        <v>3.2084978991596635</v>
      </c>
      <c r="R344" s="12">
        <f t="shared" si="27"/>
        <v>34.449135338345862</v>
      </c>
      <c r="S344" s="2">
        <f t="shared" si="28"/>
        <v>1.3729034961646625</v>
      </c>
      <c r="T344" s="18" t="str">
        <f t="shared" si="29"/>
        <v>🔴 Low</v>
      </c>
    </row>
    <row r="345" spans="1:20" x14ac:dyDescent="0.3">
      <c r="A345" s="17">
        <v>344</v>
      </c>
      <c r="B345" s="3" t="s">
        <v>69</v>
      </c>
      <c r="C345" s="3" t="s">
        <v>21</v>
      </c>
      <c r="D345" s="3" t="s">
        <v>29</v>
      </c>
      <c r="E345" s="3" t="s">
        <v>61</v>
      </c>
      <c r="F345" s="3" t="s">
        <v>47</v>
      </c>
      <c r="G345" s="3" t="s">
        <v>43</v>
      </c>
      <c r="H345" s="3" t="s">
        <v>33</v>
      </c>
      <c r="I345" s="3" t="s">
        <v>34</v>
      </c>
      <c r="J345" s="6">
        <v>2023</v>
      </c>
      <c r="K345" s="3">
        <v>594.22</v>
      </c>
      <c r="L345" s="3">
        <v>263133</v>
      </c>
      <c r="M345" s="3">
        <v>3153</v>
      </c>
      <c r="N345" s="3">
        <v>105</v>
      </c>
      <c r="O345" s="3">
        <v>534.28</v>
      </c>
      <c r="P345" s="9">
        <f t="shared" si="25"/>
        <v>1.1982533547673611</v>
      </c>
      <c r="Q345" s="11">
        <f t="shared" si="26"/>
        <v>0.16945131620678719</v>
      </c>
      <c r="R345" s="13">
        <f t="shared" si="27"/>
        <v>5.0883809523809518</v>
      </c>
      <c r="S345" s="4">
        <f t="shared" si="28"/>
        <v>1.1121883656509697</v>
      </c>
      <c r="T345" s="19" t="str">
        <f t="shared" si="29"/>
        <v>🔴 Low</v>
      </c>
    </row>
    <row r="346" spans="1:20" x14ac:dyDescent="0.3">
      <c r="A346" s="16">
        <v>345</v>
      </c>
      <c r="B346" s="1" t="s">
        <v>76</v>
      </c>
      <c r="C346" s="1" t="s">
        <v>21</v>
      </c>
      <c r="D346" s="1" t="s">
        <v>13</v>
      </c>
      <c r="E346" s="1" t="s">
        <v>23</v>
      </c>
      <c r="F346" s="1" t="s">
        <v>24</v>
      </c>
      <c r="G346" s="1" t="s">
        <v>43</v>
      </c>
      <c r="H346" s="1" t="s">
        <v>48</v>
      </c>
      <c r="I346" s="1" t="s">
        <v>34</v>
      </c>
      <c r="J346" s="5">
        <v>2024</v>
      </c>
      <c r="K346" s="1">
        <v>9184.48</v>
      </c>
      <c r="L346" s="1">
        <v>325310</v>
      </c>
      <c r="M346" s="1">
        <v>1498</v>
      </c>
      <c r="N346" s="1">
        <v>142</v>
      </c>
      <c r="O346" s="1">
        <v>5826.9</v>
      </c>
      <c r="P346" s="8">
        <f t="shared" si="25"/>
        <v>0.46048384617749222</v>
      </c>
      <c r="Q346" s="10">
        <f t="shared" si="26"/>
        <v>3.8897863818424563</v>
      </c>
      <c r="R346" s="12">
        <f t="shared" si="27"/>
        <v>41.034507042253516</v>
      </c>
      <c r="S346" s="2">
        <f t="shared" si="28"/>
        <v>1.5762206318968921</v>
      </c>
      <c r="T346" s="18" t="str">
        <f t="shared" si="29"/>
        <v>🔴 Low</v>
      </c>
    </row>
    <row r="347" spans="1:20" x14ac:dyDescent="0.3">
      <c r="A347" s="17">
        <v>346</v>
      </c>
      <c r="B347" s="3" t="s">
        <v>102</v>
      </c>
      <c r="C347" s="3" t="s">
        <v>40</v>
      </c>
      <c r="D347" s="3" t="s">
        <v>29</v>
      </c>
      <c r="E347" s="3" t="s">
        <v>30</v>
      </c>
      <c r="F347" s="3" t="s">
        <v>47</v>
      </c>
      <c r="G347" s="3" t="s">
        <v>57</v>
      </c>
      <c r="H347" s="3" t="s">
        <v>54</v>
      </c>
      <c r="I347" s="3" t="s">
        <v>45</v>
      </c>
      <c r="J347" s="6">
        <v>2023</v>
      </c>
      <c r="K347" s="3">
        <v>17896.05</v>
      </c>
      <c r="L347" s="3">
        <v>536815</v>
      </c>
      <c r="M347" s="3">
        <v>8694</v>
      </c>
      <c r="N347" s="3">
        <v>251</v>
      </c>
      <c r="O347" s="3">
        <v>16845.73</v>
      </c>
      <c r="P347" s="9">
        <f t="shared" si="25"/>
        <v>1.6195523597514971</v>
      </c>
      <c r="Q347" s="11">
        <f t="shared" si="26"/>
        <v>1.9376270991488382</v>
      </c>
      <c r="R347" s="13">
        <f t="shared" si="27"/>
        <v>67.11446215139442</v>
      </c>
      <c r="S347" s="4">
        <f t="shared" si="28"/>
        <v>1.062349331254864</v>
      </c>
      <c r="T347" s="19" t="str">
        <f t="shared" si="29"/>
        <v>🟡 Mid</v>
      </c>
    </row>
    <row r="348" spans="1:20" x14ac:dyDescent="0.3">
      <c r="A348" s="16">
        <v>347</v>
      </c>
      <c r="B348" s="1" t="s">
        <v>76</v>
      </c>
      <c r="C348" s="1" t="s">
        <v>21</v>
      </c>
      <c r="D348" s="1" t="s">
        <v>29</v>
      </c>
      <c r="E348" s="1" t="s">
        <v>30</v>
      </c>
      <c r="F348" s="1" t="s">
        <v>24</v>
      </c>
      <c r="G348" s="1" t="s">
        <v>32</v>
      </c>
      <c r="H348" s="1" t="s">
        <v>52</v>
      </c>
      <c r="I348" s="1" t="s">
        <v>38</v>
      </c>
      <c r="J348" s="5">
        <v>2024</v>
      </c>
      <c r="K348" s="1">
        <v>13251.21</v>
      </c>
      <c r="L348" s="1">
        <v>160852</v>
      </c>
      <c r="M348" s="1">
        <v>745</v>
      </c>
      <c r="N348" s="1">
        <v>24</v>
      </c>
      <c r="O348" s="1">
        <v>12031.51</v>
      </c>
      <c r="P348" s="8">
        <f t="shared" si="25"/>
        <v>0.46315868002884641</v>
      </c>
      <c r="Q348" s="10">
        <f t="shared" si="26"/>
        <v>16.149677852348994</v>
      </c>
      <c r="R348" s="12">
        <f t="shared" si="27"/>
        <v>501.31291666666669</v>
      </c>
      <c r="S348" s="2">
        <f t="shared" si="28"/>
        <v>1.1013754715742246</v>
      </c>
      <c r="T348" s="18" t="str">
        <f t="shared" si="29"/>
        <v>🔴 Low</v>
      </c>
    </row>
    <row r="349" spans="1:20" x14ac:dyDescent="0.3">
      <c r="A349" s="17">
        <v>348</v>
      </c>
      <c r="B349" s="3" t="s">
        <v>92</v>
      </c>
      <c r="C349" s="3" t="s">
        <v>40</v>
      </c>
      <c r="D349" s="3" t="s">
        <v>41</v>
      </c>
      <c r="E349" s="3" t="s">
        <v>61</v>
      </c>
      <c r="F349" s="3" t="s">
        <v>31</v>
      </c>
      <c r="G349" s="3" t="s">
        <v>57</v>
      </c>
      <c r="H349" s="3" t="s">
        <v>33</v>
      </c>
      <c r="I349" s="3" t="s">
        <v>34</v>
      </c>
      <c r="J349" s="6">
        <v>2024</v>
      </c>
      <c r="K349" s="3">
        <v>10292.26</v>
      </c>
      <c r="L349" s="3">
        <v>699868</v>
      </c>
      <c r="M349" s="3">
        <v>13055</v>
      </c>
      <c r="N349" s="3">
        <v>1032</v>
      </c>
      <c r="O349" s="3">
        <v>10342.49</v>
      </c>
      <c r="P349" s="9">
        <f t="shared" si="25"/>
        <v>1.8653517520446712</v>
      </c>
      <c r="Q349" s="11">
        <f t="shared" si="26"/>
        <v>0.79222443508234386</v>
      </c>
      <c r="R349" s="13">
        <f t="shared" si="27"/>
        <v>10.021792635658915</v>
      </c>
      <c r="S349" s="4">
        <f t="shared" si="28"/>
        <v>0.99514333588913317</v>
      </c>
      <c r="T349" s="19" t="str">
        <f t="shared" si="29"/>
        <v>🟡 Mid</v>
      </c>
    </row>
    <row r="350" spans="1:20" x14ac:dyDescent="0.3">
      <c r="A350" s="16">
        <v>349</v>
      </c>
      <c r="B350" s="1" t="s">
        <v>69</v>
      </c>
      <c r="C350" s="1" t="s">
        <v>21</v>
      </c>
      <c r="D350" s="1" t="s">
        <v>29</v>
      </c>
      <c r="E350" s="1" t="s">
        <v>30</v>
      </c>
      <c r="F350" s="1" t="s">
        <v>47</v>
      </c>
      <c r="G350" s="1" t="s">
        <v>25</v>
      </c>
      <c r="H350" s="1" t="s">
        <v>26</v>
      </c>
      <c r="I350" s="1" t="s">
        <v>27</v>
      </c>
      <c r="J350" s="5">
        <v>2023</v>
      </c>
      <c r="K350" s="1">
        <v>14850.44</v>
      </c>
      <c r="L350" s="1">
        <v>511990</v>
      </c>
      <c r="M350" s="1">
        <v>4266</v>
      </c>
      <c r="N350" s="1">
        <v>140</v>
      </c>
      <c r="O350" s="1">
        <v>10355.73</v>
      </c>
      <c r="P350" s="8">
        <f t="shared" si="25"/>
        <v>0.83321939881638318</v>
      </c>
      <c r="Q350" s="10">
        <f t="shared" si="26"/>
        <v>2.4275035161744021</v>
      </c>
      <c r="R350" s="12">
        <f t="shared" si="27"/>
        <v>73.969499999999996</v>
      </c>
      <c r="S350" s="2">
        <f t="shared" si="28"/>
        <v>1.4340312078433872</v>
      </c>
      <c r="T350" s="18" t="str">
        <f t="shared" si="29"/>
        <v>🔴 Low</v>
      </c>
    </row>
    <row r="351" spans="1:20" x14ac:dyDescent="0.3">
      <c r="A351" s="17">
        <v>350</v>
      </c>
      <c r="B351" s="3" t="s">
        <v>96</v>
      </c>
      <c r="C351" s="3" t="s">
        <v>40</v>
      </c>
      <c r="D351" s="3" t="s">
        <v>46</v>
      </c>
      <c r="E351" s="3" t="s">
        <v>42</v>
      </c>
      <c r="F351" s="3" t="s">
        <v>31</v>
      </c>
      <c r="G351" s="3" t="s">
        <v>25</v>
      </c>
      <c r="H351" s="3" t="s">
        <v>81</v>
      </c>
      <c r="I351" s="3" t="s">
        <v>34</v>
      </c>
      <c r="J351" s="6">
        <v>2024</v>
      </c>
      <c r="K351" s="3">
        <v>8067.82</v>
      </c>
      <c r="L351" s="3">
        <v>481728</v>
      </c>
      <c r="M351" s="3">
        <v>7449</v>
      </c>
      <c r="N351" s="3">
        <v>691</v>
      </c>
      <c r="O351" s="3">
        <v>4975.91</v>
      </c>
      <c r="P351" s="9">
        <f t="shared" si="25"/>
        <v>1.5463082901554404</v>
      </c>
      <c r="Q351" s="11">
        <f t="shared" si="26"/>
        <v>0.66799704658343395</v>
      </c>
      <c r="R351" s="13">
        <f t="shared" si="27"/>
        <v>7.2010274963820544</v>
      </c>
      <c r="S351" s="4">
        <f t="shared" si="28"/>
        <v>1.6213757885492301</v>
      </c>
      <c r="T351" s="19" t="str">
        <f t="shared" si="29"/>
        <v>🟡 Mid</v>
      </c>
    </row>
    <row r="352" spans="1:20" x14ac:dyDescent="0.3">
      <c r="A352" s="16">
        <v>351</v>
      </c>
      <c r="B352" s="1" t="s">
        <v>78</v>
      </c>
      <c r="C352" s="1" t="s">
        <v>21</v>
      </c>
      <c r="D352" s="1" t="s">
        <v>22</v>
      </c>
      <c r="E352" s="1" t="s">
        <v>61</v>
      </c>
      <c r="F352" s="1" t="s">
        <v>31</v>
      </c>
      <c r="G352" s="1" t="s">
        <v>43</v>
      </c>
      <c r="H352" s="1" t="s">
        <v>54</v>
      </c>
      <c r="I352" s="1" t="s">
        <v>45</v>
      </c>
      <c r="J352" s="5">
        <v>2024</v>
      </c>
      <c r="K352" s="1">
        <v>11783.31</v>
      </c>
      <c r="L352" s="1">
        <v>602856</v>
      </c>
      <c r="M352" s="1">
        <v>6241</v>
      </c>
      <c r="N352" s="1">
        <v>65</v>
      </c>
      <c r="O352" s="1">
        <v>10303.34</v>
      </c>
      <c r="P352" s="8">
        <f t="shared" si="25"/>
        <v>1.0352389293628992</v>
      </c>
      <c r="Q352" s="10">
        <f t="shared" si="26"/>
        <v>1.6509117128665278</v>
      </c>
      <c r="R352" s="12">
        <f t="shared" si="27"/>
        <v>158.51292307692307</v>
      </c>
      <c r="S352" s="2">
        <f t="shared" si="28"/>
        <v>1.1436398294145393</v>
      </c>
      <c r="T352" s="18" t="str">
        <f t="shared" si="29"/>
        <v>🔴 Low</v>
      </c>
    </row>
    <row r="353" spans="1:20" x14ac:dyDescent="0.3">
      <c r="A353" s="17">
        <v>352</v>
      </c>
      <c r="B353" s="3" t="s">
        <v>94</v>
      </c>
      <c r="C353" s="3" t="s">
        <v>36</v>
      </c>
      <c r="D353" s="3" t="s">
        <v>41</v>
      </c>
      <c r="E353" s="3" t="s">
        <v>30</v>
      </c>
      <c r="F353" s="3" t="s">
        <v>31</v>
      </c>
      <c r="G353" s="3" t="s">
        <v>50</v>
      </c>
      <c r="H353" s="3" t="s">
        <v>37</v>
      </c>
      <c r="I353" s="3" t="s">
        <v>38</v>
      </c>
      <c r="J353" s="6">
        <v>2024</v>
      </c>
      <c r="K353" s="3">
        <v>9993.7999999999993</v>
      </c>
      <c r="L353" s="3">
        <v>510529</v>
      </c>
      <c r="M353" s="3">
        <v>17594</v>
      </c>
      <c r="N353" s="3">
        <v>2304</v>
      </c>
      <c r="O353" s="3">
        <v>6023.97</v>
      </c>
      <c r="P353" s="9">
        <f t="shared" si="25"/>
        <v>3.4462293033304672</v>
      </c>
      <c r="Q353" s="11">
        <f t="shared" si="26"/>
        <v>0.34238774582243947</v>
      </c>
      <c r="R353" s="13">
        <f t="shared" si="27"/>
        <v>2.6145703125000002</v>
      </c>
      <c r="S353" s="4">
        <f t="shared" si="28"/>
        <v>1.6590056059376124</v>
      </c>
      <c r="T353" s="19" t="str">
        <f t="shared" si="29"/>
        <v>🟢 High</v>
      </c>
    </row>
    <row r="354" spans="1:20" x14ac:dyDescent="0.3">
      <c r="A354" s="16">
        <v>353</v>
      </c>
      <c r="B354" s="1" t="s">
        <v>86</v>
      </c>
      <c r="C354" s="1" t="s">
        <v>36</v>
      </c>
      <c r="D354" s="1" t="s">
        <v>46</v>
      </c>
      <c r="E354" s="1" t="s">
        <v>30</v>
      </c>
      <c r="F354" s="1" t="s">
        <v>24</v>
      </c>
      <c r="G354" s="1" t="s">
        <v>32</v>
      </c>
      <c r="H354" s="1" t="s">
        <v>44</v>
      </c>
      <c r="I354" s="1" t="s">
        <v>45</v>
      </c>
      <c r="J354" s="5">
        <v>2024</v>
      </c>
      <c r="K354" s="1">
        <v>4624.58</v>
      </c>
      <c r="L354" s="1">
        <v>200984</v>
      </c>
      <c r="M354" s="1">
        <v>6377</v>
      </c>
      <c r="N354" s="1">
        <v>567</v>
      </c>
      <c r="O354" s="1">
        <v>4058.84</v>
      </c>
      <c r="P354" s="8">
        <f t="shared" si="25"/>
        <v>3.17288938422959</v>
      </c>
      <c r="Q354" s="10">
        <f t="shared" si="26"/>
        <v>0.63648110396738278</v>
      </c>
      <c r="R354" s="12">
        <f t="shared" si="27"/>
        <v>7.158447971781305</v>
      </c>
      <c r="S354" s="2">
        <f t="shared" si="28"/>
        <v>1.1393846517724275</v>
      </c>
      <c r="T354" s="18" t="str">
        <f t="shared" si="29"/>
        <v>🟢 High</v>
      </c>
    </row>
    <row r="355" spans="1:20" x14ac:dyDescent="0.3">
      <c r="A355" s="17">
        <v>354</v>
      </c>
      <c r="B355" s="3" t="s">
        <v>100</v>
      </c>
      <c r="C355" s="3" t="s">
        <v>40</v>
      </c>
      <c r="D355" s="3" t="s">
        <v>22</v>
      </c>
      <c r="E355" s="3" t="s">
        <v>56</v>
      </c>
      <c r="F355" s="3" t="s">
        <v>31</v>
      </c>
      <c r="G355" s="3" t="s">
        <v>50</v>
      </c>
      <c r="H355" s="3" t="s">
        <v>48</v>
      </c>
      <c r="I355" s="3" t="s">
        <v>34</v>
      </c>
      <c r="J355" s="6">
        <v>2023</v>
      </c>
      <c r="K355" s="3">
        <v>12020.42</v>
      </c>
      <c r="L355" s="3">
        <v>683700</v>
      </c>
      <c r="M355" s="3">
        <v>14815</v>
      </c>
      <c r="N355" s="3">
        <v>259</v>
      </c>
      <c r="O355" s="3">
        <v>7325.57</v>
      </c>
      <c r="P355" s="9">
        <f t="shared" si="25"/>
        <v>2.1668860611379261</v>
      </c>
      <c r="Q355" s="11">
        <f t="shared" si="26"/>
        <v>0.49446979412757336</v>
      </c>
      <c r="R355" s="13">
        <f t="shared" si="27"/>
        <v>28.284054054054053</v>
      </c>
      <c r="S355" s="4">
        <f t="shared" si="28"/>
        <v>1.6408852826469478</v>
      </c>
      <c r="T355" s="19" t="str">
        <f t="shared" si="29"/>
        <v>🟡 Mid</v>
      </c>
    </row>
    <row r="356" spans="1:20" x14ac:dyDescent="0.3">
      <c r="A356" s="16">
        <v>355</v>
      </c>
      <c r="B356" s="1" t="s">
        <v>55</v>
      </c>
      <c r="C356" s="1" t="s">
        <v>36</v>
      </c>
      <c r="D356" s="1" t="s">
        <v>29</v>
      </c>
      <c r="E356" s="1" t="s">
        <v>61</v>
      </c>
      <c r="F356" s="1" t="s">
        <v>24</v>
      </c>
      <c r="G356" s="1" t="s">
        <v>25</v>
      </c>
      <c r="H356" s="1" t="s">
        <v>44</v>
      </c>
      <c r="I356" s="1" t="s">
        <v>45</v>
      </c>
      <c r="J356" s="5">
        <v>2023</v>
      </c>
      <c r="K356" s="1">
        <v>17870.55</v>
      </c>
      <c r="L356" s="1">
        <v>158999</v>
      </c>
      <c r="M356" s="1">
        <v>5028</v>
      </c>
      <c r="N356" s="1">
        <v>77</v>
      </c>
      <c r="O356" s="1">
        <v>17914.509999999998</v>
      </c>
      <c r="P356" s="8">
        <f t="shared" si="25"/>
        <v>3.1622840395222611</v>
      </c>
      <c r="Q356" s="10">
        <f t="shared" si="26"/>
        <v>3.5629494828957835</v>
      </c>
      <c r="R356" s="12">
        <f t="shared" si="27"/>
        <v>232.65597402597402</v>
      </c>
      <c r="S356" s="2">
        <f t="shared" si="28"/>
        <v>0.99754612322636793</v>
      </c>
      <c r="T356" s="18" t="str">
        <f t="shared" si="29"/>
        <v>🟢 High</v>
      </c>
    </row>
    <row r="357" spans="1:20" x14ac:dyDescent="0.3">
      <c r="A357" s="17">
        <v>356</v>
      </c>
      <c r="B357" s="3" t="s">
        <v>62</v>
      </c>
      <c r="C357" s="3" t="s">
        <v>21</v>
      </c>
      <c r="D357" s="3" t="s">
        <v>13</v>
      </c>
      <c r="E357" s="3" t="s">
        <v>42</v>
      </c>
      <c r="F357" s="3" t="s">
        <v>24</v>
      </c>
      <c r="G357" s="3" t="s">
        <v>50</v>
      </c>
      <c r="H357" s="3" t="s">
        <v>79</v>
      </c>
      <c r="I357" s="3" t="s">
        <v>45</v>
      </c>
      <c r="J357" s="6">
        <v>2024</v>
      </c>
      <c r="K357" s="3">
        <v>17412.400000000001</v>
      </c>
      <c r="L357" s="3">
        <v>183852</v>
      </c>
      <c r="M357" s="3">
        <v>1531</v>
      </c>
      <c r="N357" s="3">
        <v>100</v>
      </c>
      <c r="O357" s="3">
        <v>13451.46</v>
      </c>
      <c r="P357" s="9">
        <f t="shared" si="25"/>
        <v>0.83273502599917315</v>
      </c>
      <c r="Q357" s="11">
        <f t="shared" si="26"/>
        <v>8.7860613977792283</v>
      </c>
      <c r="R357" s="13">
        <f t="shared" si="27"/>
        <v>134.5146</v>
      </c>
      <c r="S357" s="4">
        <f t="shared" si="28"/>
        <v>1.2944617164233476</v>
      </c>
      <c r="T357" s="19" t="str">
        <f t="shared" si="29"/>
        <v>🔴 Low</v>
      </c>
    </row>
    <row r="358" spans="1:20" x14ac:dyDescent="0.3">
      <c r="A358" s="16">
        <v>357</v>
      </c>
      <c r="B358" s="1" t="s">
        <v>65</v>
      </c>
      <c r="C358" s="1" t="s">
        <v>36</v>
      </c>
      <c r="D358" s="1" t="s">
        <v>29</v>
      </c>
      <c r="E358" s="1" t="s">
        <v>61</v>
      </c>
      <c r="F358" s="1" t="s">
        <v>47</v>
      </c>
      <c r="G358" s="1" t="s">
        <v>25</v>
      </c>
      <c r="H358" s="1" t="s">
        <v>54</v>
      </c>
      <c r="I358" s="1" t="s">
        <v>45</v>
      </c>
      <c r="J358" s="5">
        <v>2024</v>
      </c>
      <c r="K358" s="1">
        <v>18485.86</v>
      </c>
      <c r="L358" s="1">
        <v>630510</v>
      </c>
      <c r="M358" s="1">
        <v>15735</v>
      </c>
      <c r="N358" s="1">
        <v>339</v>
      </c>
      <c r="O358" s="1">
        <v>11934.46</v>
      </c>
      <c r="P358" s="8">
        <f t="shared" si="25"/>
        <v>2.4955988009706429</v>
      </c>
      <c r="Q358" s="10">
        <f t="shared" si="26"/>
        <v>0.75846584048299959</v>
      </c>
      <c r="R358" s="12">
        <f t="shared" si="27"/>
        <v>35.204896755162238</v>
      </c>
      <c r="S358" s="2">
        <f t="shared" si="28"/>
        <v>1.5489481719323708</v>
      </c>
      <c r="T358" s="18" t="str">
        <f t="shared" si="29"/>
        <v>🟡 Mid</v>
      </c>
    </row>
    <row r="359" spans="1:20" x14ac:dyDescent="0.3">
      <c r="A359" s="17">
        <v>358</v>
      </c>
      <c r="B359" s="3" t="s">
        <v>35</v>
      </c>
      <c r="C359" s="3" t="s">
        <v>36</v>
      </c>
      <c r="D359" s="3" t="s">
        <v>46</v>
      </c>
      <c r="E359" s="3" t="s">
        <v>61</v>
      </c>
      <c r="F359" s="3" t="s">
        <v>24</v>
      </c>
      <c r="G359" s="3" t="s">
        <v>25</v>
      </c>
      <c r="H359" s="3" t="s">
        <v>48</v>
      </c>
      <c r="I359" s="3" t="s">
        <v>34</v>
      </c>
      <c r="J359" s="6">
        <v>2023</v>
      </c>
      <c r="K359" s="3">
        <v>17616.18</v>
      </c>
      <c r="L359" s="3">
        <v>562244</v>
      </c>
      <c r="M359" s="3">
        <v>14647</v>
      </c>
      <c r="N359" s="3">
        <v>1028</v>
      </c>
      <c r="O359" s="3">
        <v>11439.19</v>
      </c>
      <c r="P359" s="9">
        <f t="shared" si="25"/>
        <v>2.6050967195737083</v>
      </c>
      <c r="Q359" s="11">
        <f t="shared" si="26"/>
        <v>0.78099201201611257</v>
      </c>
      <c r="R359" s="13">
        <f t="shared" si="27"/>
        <v>11.127616731517509</v>
      </c>
      <c r="S359" s="4">
        <f t="shared" si="28"/>
        <v>1.5399849115190849</v>
      </c>
      <c r="T359" s="19" t="str">
        <f t="shared" si="29"/>
        <v>🟡 Mid</v>
      </c>
    </row>
    <row r="360" spans="1:20" x14ac:dyDescent="0.3">
      <c r="A360" s="16">
        <v>359</v>
      </c>
      <c r="B360" s="1" t="s">
        <v>92</v>
      </c>
      <c r="C360" s="1" t="s">
        <v>40</v>
      </c>
      <c r="D360" s="1" t="s">
        <v>29</v>
      </c>
      <c r="E360" s="1" t="s">
        <v>61</v>
      </c>
      <c r="F360" s="1" t="s">
        <v>24</v>
      </c>
      <c r="G360" s="1" t="s">
        <v>50</v>
      </c>
      <c r="H360" s="1" t="s">
        <v>81</v>
      </c>
      <c r="I360" s="1" t="s">
        <v>34</v>
      </c>
      <c r="J360" s="5">
        <v>2024</v>
      </c>
      <c r="K360" s="1">
        <v>7722.36</v>
      </c>
      <c r="L360" s="1">
        <v>50548</v>
      </c>
      <c r="M360" s="1">
        <v>722</v>
      </c>
      <c r="N360" s="1">
        <v>27</v>
      </c>
      <c r="O360" s="1">
        <v>6197.13</v>
      </c>
      <c r="P360" s="8">
        <f t="shared" si="25"/>
        <v>1.4283453351270081</v>
      </c>
      <c r="Q360" s="10">
        <f t="shared" si="26"/>
        <v>8.5832825484764541</v>
      </c>
      <c r="R360" s="12">
        <f t="shared" si="27"/>
        <v>229.52333333333334</v>
      </c>
      <c r="S360" s="2">
        <f t="shared" si="28"/>
        <v>1.2461187678812611</v>
      </c>
      <c r="T360" s="18" t="str">
        <f t="shared" si="29"/>
        <v>🔴 Low</v>
      </c>
    </row>
    <row r="361" spans="1:20" x14ac:dyDescent="0.3">
      <c r="A361" s="17">
        <v>360</v>
      </c>
      <c r="B361" s="3" t="s">
        <v>96</v>
      </c>
      <c r="C361" s="3" t="s">
        <v>40</v>
      </c>
      <c r="D361" s="3" t="s">
        <v>29</v>
      </c>
      <c r="E361" s="3" t="s">
        <v>61</v>
      </c>
      <c r="F361" s="3" t="s">
        <v>24</v>
      </c>
      <c r="G361" s="3" t="s">
        <v>50</v>
      </c>
      <c r="H361" s="3" t="s">
        <v>26</v>
      </c>
      <c r="I361" s="3" t="s">
        <v>27</v>
      </c>
      <c r="J361" s="6">
        <v>2024</v>
      </c>
      <c r="K361" s="3">
        <v>9804.25</v>
      </c>
      <c r="L361" s="3">
        <v>248807</v>
      </c>
      <c r="M361" s="3">
        <v>2734</v>
      </c>
      <c r="N361" s="3">
        <v>101</v>
      </c>
      <c r="O361" s="3">
        <v>6227.69</v>
      </c>
      <c r="P361" s="9">
        <f t="shared" si="25"/>
        <v>1.0988436820507461</v>
      </c>
      <c r="Q361" s="11">
        <f t="shared" si="26"/>
        <v>2.2778675932699342</v>
      </c>
      <c r="R361" s="13">
        <f t="shared" si="27"/>
        <v>61.660297029702967</v>
      </c>
      <c r="S361" s="4">
        <f t="shared" si="28"/>
        <v>1.5742996199232782</v>
      </c>
      <c r="T361" s="19" t="str">
        <f t="shared" si="29"/>
        <v>🔴 Low</v>
      </c>
    </row>
    <row r="362" spans="1:20" x14ac:dyDescent="0.3">
      <c r="A362" s="16">
        <v>361</v>
      </c>
      <c r="B362" s="1" t="s">
        <v>90</v>
      </c>
      <c r="C362" s="1" t="s">
        <v>21</v>
      </c>
      <c r="D362" s="1" t="s">
        <v>13</v>
      </c>
      <c r="E362" s="1" t="s">
        <v>30</v>
      </c>
      <c r="F362" s="1" t="s">
        <v>24</v>
      </c>
      <c r="G362" s="1" t="s">
        <v>57</v>
      </c>
      <c r="H362" s="1" t="s">
        <v>79</v>
      </c>
      <c r="I362" s="1" t="s">
        <v>45</v>
      </c>
      <c r="J362" s="5">
        <v>2023</v>
      </c>
      <c r="K362" s="1">
        <v>10635.36</v>
      </c>
      <c r="L362" s="1">
        <v>398247</v>
      </c>
      <c r="M362" s="1">
        <v>1072</v>
      </c>
      <c r="N362" s="1">
        <v>77</v>
      </c>
      <c r="O362" s="1">
        <v>7999.42</v>
      </c>
      <c r="P362" s="8">
        <f t="shared" si="25"/>
        <v>0.26917967994736935</v>
      </c>
      <c r="Q362" s="10">
        <f t="shared" si="26"/>
        <v>7.4621455223880595</v>
      </c>
      <c r="R362" s="12">
        <f t="shared" si="27"/>
        <v>103.88857142857142</v>
      </c>
      <c r="S362" s="2">
        <f t="shared" si="28"/>
        <v>1.3295163899382705</v>
      </c>
      <c r="T362" s="18" t="str">
        <f t="shared" si="29"/>
        <v>🔴 Low</v>
      </c>
    </row>
    <row r="363" spans="1:20" x14ac:dyDescent="0.3">
      <c r="A363" s="17">
        <v>362</v>
      </c>
      <c r="B363" s="3" t="s">
        <v>75</v>
      </c>
      <c r="C363" s="3" t="s">
        <v>36</v>
      </c>
      <c r="D363" s="3" t="s">
        <v>29</v>
      </c>
      <c r="E363" s="3" t="s">
        <v>23</v>
      </c>
      <c r="F363" s="3" t="s">
        <v>47</v>
      </c>
      <c r="G363" s="3" t="s">
        <v>32</v>
      </c>
      <c r="H363" s="3" t="s">
        <v>33</v>
      </c>
      <c r="I363" s="3" t="s">
        <v>34</v>
      </c>
      <c r="J363" s="6">
        <v>2024</v>
      </c>
      <c r="K363" s="3">
        <v>12431.67</v>
      </c>
      <c r="L363" s="3">
        <v>718666</v>
      </c>
      <c r="M363" s="3">
        <v>15596</v>
      </c>
      <c r="N363" s="3">
        <v>341</v>
      </c>
      <c r="O363" s="3">
        <v>8522.5499999999993</v>
      </c>
      <c r="P363" s="9">
        <f t="shared" si="25"/>
        <v>2.170131883239224</v>
      </c>
      <c r="Q363" s="11">
        <f t="shared" si="26"/>
        <v>0.54645742498076422</v>
      </c>
      <c r="R363" s="13">
        <f t="shared" si="27"/>
        <v>24.992815249266862</v>
      </c>
      <c r="S363" s="4">
        <f t="shared" si="28"/>
        <v>1.4586796205361072</v>
      </c>
      <c r="T363" s="19" t="str">
        <f t="shared" si="29"/>
        <v>🟡 Mid</v>
      </c>
    </row>
    <row r="364" spans="1:20" x14ac:dyDescent="0.3">
      <c r="A364" s="16">
        <v>363</v>
      </c>
      <c r="B364" s="1" t="s">
        <v>53</v>
      </c>
      <c r="C364" s="1" t="s">
        <v>21</v>
      </c>
      <c r="D364" s="1" t="s">
        <v>46</v>
      </c>
      <c r="E364" s="1" t="s">
        <v>23</v>
      </c>
      <c r="F364" s="1" t="s">
        <v>31</v>
      </c>
      <c r="G364" s="1" t="s">
        <v>32</v>
      </c>
      <c r="H364" s="1" t="s">
        <v>48</v>
      </c>
      <c r="I364" s="1" t="s">
        <v>34</v>
      </c>
      <c r="J364" s="5">
        <v>2024</v>
      </c>
      <c r="K364" s="1">
        <v>19775.91</v>
      </c>
      <c r="L364" s="1">
        <v>610711</v>
      </c>
      <c r="M364" s="1">
        <v>1607</v>
      </c>
      <c r="N364" s="1">
        <v>135</v>
      </c>
      <c r="O364" s="1">
        <v>18967.07</v>
      </c>
      <c r="P364" s="8">
        <f t="shared" si="25"/>
        <v>0.26313591862599495</v>
      </c>
      <c r="Q364" s="10">
        <f t="shared" si="26"/>
        <v>11.802781580584941</v>
      </c>
      <c r="R364" s="12">
        <f t="shared" si="27"/>
        <v>140.49681481481483</v>
      </c>
      <c r="S364" s="2">
        <f t="shared" si="28"/>
        <v>1.0426444358564606</v>
      </c>
      <c r="T364" s="18" t="str">
        <f t="shared" si="29"/>
        <v>🔴 Low</v>
      </c>
    </row>
    <row r="365" spans="1:20" x14ac:dyDescent="0.3">
      <c r="A365" s="17">
        <v>364</v>
      </c>
      <c r="B365" s="3" t="s">
        <v>20</v>
      </c>
      <c r="C365" s="3" t="s">
        <v>21</v>
      </c>
      <c r="D365" s="3" t="s">
        <v>46</v>
      </c>
      <c r="E365" s="3" t="s">
        <v>56</v>
      </c>
      <c r="F365" s="3" t="s">
        <v>31</v>
      </c>
      <c r="G365" s="3" t="s">
        <v>25</v>
      </c>
      <c r="H365" s="3" t="s">
        <v>58</v>
      </c>
      <c r="I365" s="3" t="s">
        <v>27</v>
      </c>
      <c r="J365" s="6">
        <v>2023</v>
      </c>
      <c r="K365" s="3">
        <v>10412.700000000001</v>
      </c>
      <c r="L365" s="3">
        <v>359877</v>
      </c>
      <c r="M365" s="3">
        <v>4852</v>
      </c>
      <c r="N365" s="3">
        <v>427</v>
      </c>
      <c r="O365" s="3">
        <v>8932.9599999999991</v>
      </c>
      <c r="P365" s="9">
        <f t="shared" si="25"/>
        <v>1.3482384259066293</v>
      </c>
      <c r="Q365" s="11">
        <f t="shared" si="26"/>
        <v>1.8410882110469908</v>
      </c>
      <c r="R365" s="13">
        <f t="shared" si="27"/>
        <v>20.920281030444961</v>
      </c>
      <c r="S365" s="4">
        <f t="shared" si="28"/>
        <v>1.1656494599774321</v>
      </c>
      <c r="T365" s="19" t="str">
        <f t="shared" si="29"/>
        <v>🔴 Low</v>
      </c>
    </row>
    <row r="366" spans="1:20" x14ac:dyDescent="0.3">
      <c r="A366" s="16">
        <v>365</v>
      </c>
      <c r="B366" s="1" t="s">
        <v>28</v>
      </c>
      <c r="C366" s="1" t="s">
        <v>21</v>
      </c>
      <c r="D366" s="1" t="s">
        <v>46</v>
      </c>
      <c r="E366" s="1" t="s">
        <v>56</v>
      </c>
      <c r="F366" s="1" t="s">
        <v>31</v>
      </c>
      <c r="G366" s="1" t="s">
        <v>57</v>
      </c>
      <c r="H366" s="1" t="s">
        <v>58</v>
      </c>
      <c r="I366" s="1" t="s">
        <v>27</v>
      </c>
      <c r="J366" s="5">
        <v>2023</v>
      </c>
      <c r="K366" s="1">
        <v>9697.5400000000009</v>
      </c>
      <c r="L366" s="1">
        <v>634402</v>
      </c>
      <c r="M366" s="1">
        <v>3380</v>
      </c>
      <c r="N366" s="1">
        <v>180</v>
      </c>
      <c r="O366" s="1">
        <v>6144.52</v>
      </c>
      <c r="P366" s="8">
        <f t="shared" si="25"/>
        <v>0.53278520559519049</v>
      </c>
      <c r="Q366" s="10">
        <f t="shared" si="26"/>
        <v>1.8179053254437871</v>
      </c>
      <c r="R366" s="12">
        <f t="shared" si="27"/>
        <v>34.136222222222223</v>
      </c>
      <c r="S366" s="2">
        <f t="shared" si="28"/>
        <v>1.578242075865975</v>
      </c>
      <c r="T366" s="18" t="str">
        <f t="shared" si="29"/>
        <v>🔴 Low</v>
      </c>
    </row>
    <row r="367" spans="1:20" x14ac:dyDescent="0.3">
      <c r="A367" s="17">
        <v>366</v>
      </c>
      <c r="B367" s="3" t="s">
        <v>35</v>
      </c>
      <c r="C367" s="3" t="s">
        <v>36</v>
      </c>
      <c r="D367" s="3" t="s">
        <v>41</v>
      </c>
      <c r="E367" s="3" t="s">
        <v>61</v>
      </c>
      <c r="F367" s="3" t="s">
        <v>31</v>
      </c>
      <c r="G367" s="3" t="s">
        <v>32</v>
      </c>
      <c r="H367" s="3" t="s">
        <v>52</v>
      </c>
      <c r="I367" s="3" t="s">
        <v>38</v>
      </c>
      <c r="J367" s="6">
        <v>2023</v>
      </c>
      <c r="K367" s="3">
        <v>18941.46</v>
      </c>
      <c r="L367" s="3">
        <v>188785</v>
      </c>
      <c r="M367" s="3">
        <v>5421</v>
      </c>
      <c r="N367" s="3">
        <v>602</v>
      </c>
      <c r="O367" s="3">
        <v>14857.08</v>
      </c>
      <c r="P367" s="9">
        <f t="shared" si="25"/>
        <v>2.871520512752602</v>
      </c>
      <c r="Q367" s="11">
        <f t="shared" si="26"/>
        <v>2.7406530160486997</v>
      </c>
      <c r="R367" s="13">
        <f t="shared" si="27"/>
        <v>24.67953488372093</v>
      </c>
      <c r="S367" s="4">
        <f t="shared" si="28"/>
        <v>1.2749113553941958</v>
      </c>
      <c r="T367" s="19" t="str">
        <f t="shared" si="29"/>
        <v>🟡 Mid</v>
      </c>
    </row>
    <row r="368" spans="1:20" x14ac:dyDescent="0.3">
      <c r="A368" s="16">
        <v>367</v>
      </c>
      <c r="B368" s="1" t="s">
        <v>71</v>
      </c>
      <c r="C368" s="1" t="s">
        <v>36</v>
      </c>
      <c r="D368" s="1" t="s">
        <v>46</v>
      </c>
      <c r="E368" s="1" t="s">
        <v>42</v>
      </c>
      <c r="F368" s="1" t="s">
        <v>31</v>
      </c>
      <c r="G368" s="1" t="s">
        <v>32</v>
      </c>
      <c r="H368" s="1" t="s">
        <v>81</v>
      </c>
      <c r="I368" s="1" t="s">
        <v>34</v>
      </c>
      <c r="J368" s="5">
        <v>2023</v>
      </c>
      <c r="K368" s="1">
        <v>12496.2</v>
      </c>
      <c r="L368" s="1">
        <v>711765</v>
      </c>
      <c r="M368" s="1">
        <v>22494</v>
      </c>
      <c r="N368" s="1">
        <v>900</v>
      </c>
      <c r="O368" s="1">
        <v>8324.0499999999993</v>
      </c>
      <c r="P368" s="8">
        <f t="shared" si="25"/>
        <v>3.1603127436724199</v>
      </c>
      <c r="Q368" s="10">
        <f t="shared" si="26"/>
        <v>0.37005645950031119</v>
      </c>
      <c r="R368" s="12">
        <f t="shared" si="27"/>
        <v>9.2489444444444437</v>
      </c>
      <c r="S368" s="2">
        <f t="shared" si="28"/>
        <v>1.5012163550194919</v>
      </c>
      <c r="T368" s="18" t="str">
        <f t="shared" si="29"/>
        <v>🟢 High</v>
      </c>
    </row>
    <row r="369" spans="1:20" x14ac:dyDescent="0.3">
      <c r="A369" s="17">
        <v>368</v>
      </c>
      <c r="B369" s="3" t="s">
        <v>80</v>
      </c>
      <c r="C369" s="3" t="s">
        <v>40</v>
      </c>
      <c r="D369" s="3" t="s">
        <v>13</v>
      </c>
      <c r="E369" s="3" t="s">
        <v>56</v>
      </c>
      <c r="F369" s="3" t="s">
        <v>47</v>
      </c>
      <c r="G369" s="3" t="s">
        <v>32</v>
      </c>
      <c r="H369" s="3" t="s">
        <v>83</v>
      </c>
      <c r="I369" s="3" t="s">
        <v>38</v>
      </c>
      <c r="J369" s="6">
        <v>2023</v>
      </c>
      <c r="K369" s="3">
        <v>14870.05</v>
      </c>
      <c r="L369" s="3">
        <v>76950</v>
      </c>
      <c r="M369" s="3">
        <v>1295</v>
      </c>
      <c r="N369" s="3">
        <v>148</v>
      </c>
      <c r="O369" s="3">
        <v>12354.47</v>
      </c>
      <c r="P369" s="9">
        <f t="shared" si="25"/>
        <v>1.6829109811565952</v>
      </c>
      <c r="Q369" s="11">
        <f t="shared" si="26"/>
        <v>9.5401312741312729</v>
      </c>
      <c r="R369" s="13">
        <f t="shared" si="27"/>
        <v>83.476148648648646</v>
      </c>
      <c r="S369" s="4">
        <f t="shared" si="28"/>
        <v>1.2036169904496106</v>
      </c>
      <c r="T369" s="19" t="str">
        <f t="shared" si="29"/>
        <v>🟡 Mid</v>
      </c>
    </row>
    <row r="370" spans="1:20" x14ac:dyDescent="0.3">
      <c r="A370" s="16">
        <v>369</v>
      </c>
      <c r="B370" s="1" t="s">
        <v>78</v>
      </c>
      <c r="C370" s="1" t="s">
        <v>21</v>
      </c>
      <c r="D370" s="1" t="s">
        <v>13</v>
      </c>
      <c r="E370" s="1" t="s">
        <v>23</v>
      </c>
      <c r="F370" s="1" t="s">
        <v>24</v>
      </c>
      <c r="G370" s="1" t="s">
        <v>32</v>
      </c>
      <c r="H370" s="1" t="s">
        <v>83</v>
      </c>
      <c r="I370" s="1" t="s">
        <v>38</v>
      </c>
      <c r="J370" s="5">
        <v>2024</v>
      </c>
      <c r="K370" s="1">
        <v>18629.419999999998</v>
      </c>
      <c r="L370" s="1">
        <v>607833</v>
      </c>
      <c r="M370" s="1">
        <v>6139</v>
      </c>
      <c r="N370" s="1">
        <v>524</v>
      </c>
      <c r="O370" s="1">
        <v>15548.58</v>
      </c>
      <c r="P370" s="8">
        <f t="shared" si="25"/>
        <v>1.0099813600117138</v>
      </c>
      <c r="Q370" s="10">
        <f t="shared" si="26"/>
        <v>2.532754520280176</v>
      </c>
      <c r="R370" s="12">
        <f t="shared" si="27"/>
        <v>29.672862595419847</v>
      </c>
      <c r="S370" s="2">
        <f t="shared" si="28"/>
        <v>1.1981428529164719</v>
      </c>
      <c r="T370" s="18" t="str">
        <f t="shared" si="29"/>
        <v>🔴 Low</v>
      </c>
    </row>
    <row r="371" spans="1:20" x14ac:dyDescent="0.3">
      <c r="A371" s="17">
        <v>370</v>
      </c>
      <c r="B371" s="3" t="s">
        <v>59</v>
      </c>
      <c r="C371" s="3" t="s">
        <v>21</v>
      </c>
      <c r="D371" s="3" t="s">
        <v>13</v>
      </c>
      <c r="E371" s="3" t="s">
        <v>42</v>
      </c>
      <c r="F371" s="3" t="s">
        <v>31</v>
      </c>
      <c r="G371" s="3" t="s">
        <v>43</v>
      </c>
      <c r="H371" s="3" t="s">
        <v>81</v>
      </c>
      <c r="I371" s="3" t="s">
        <v>34</v>
      </c>
      <c r="J371" s="6">
        <v>2024</v>
      </c>
      <c r="K371" s="3">
        <v>14036.74</v>
      </c>
      <c r="L371" s="3">
        <v>400397</v>
      </c>
      <c r="M371" s="3">
        <v>2839</v>
      </c>
      <c r="N371" s="3">
        <v>253</v>
      </c>
      <c r="O371" s="3">
        <v>12961.33</v>
      </c>
      <c r="P371" s="9">
        <f t="shared" si="25"/>
        <v>0.7090462715754613</v>
      </c>
      <c r="Q371" s="11">
        <f t="shared" si="26"/>
        <v>4.5654561465304688</v>
      </c>
      <c r="R371" s="13">
        <f t="shared" si="27"/>
        <v>51.230553359683796</v>
      </c>
      <c r="S371" s="4">
        <f t="shared" si="28"/>
        <v>1.0829706519315534</v>
      </c>
      <c r="T371" s="19" t="str">
        <f t="shared" si="29"/>
        <v>🔴 Low</v>
      </c>
    </row>
    <row r="372" spans="1:20" x14ac:dyDescent="0.3">
      <c r="A372" s="16">
        <v>371</v>
      </c>
      <c r="B372" s="1" t="s">
        <v>66</v>
      </c>
      <c r="C372" s="1" t="s">
        <v>40</v>
      </c>
      <c r="D372" s="1" t="s">
        <v>41</v>
      </c>
      <c r="E372" s="1" t="s">
        <v>61</v>
      </c>
      <c r="F372" s="1" t="s">
        <v>24</v>
      </c>
      <c r="G372" s="1" t="s">
        <v>50</v>
      </c>
      <c r="H372" s="1" t="s">
        <v>58</v>
      </c>
      <c r="I372" s="1" t="s">
        <v>27</v>
      </c>
      <c r="J372" s="5">
        <v>2024</v>
      </c>
      <c r="K372" s="1">
        <v>1817.31</v>
      </c>
      <c r="L372" s="1">
        <v>669442</v>
      </c>
      <c r="M372" s="1">
        <v>11279</v>
      </c>
      <c r="N372" s="1">
        <v>1309</v>
      </c>
      <c r="O372" s="1">
        <v>1701.13</v>
      </c>
      <c r="P372" s="8">
        <f t="shared" si="25"/>
        <v>1.6848360276170302</v>
      </c>
      <c r="Q372" s="10">
        <f t="shared" si="26"/>
        <v>0.1508227679758844</v>
      </c>
      <c r="R372" s="12">
        <f t="shared" si="27"/>
        <v>1.299564553093965</v>
      </c>
      <c r="S372" s="2">
        <f t="shared" si="28"/>
        <v>1.0682957798639727</v>
      </c>
      <c r="T372" s="18" t="str">
        <f t="shared" si="29"/>
        <v>🟡 Mid</v>
      </c>
    </row>
    <row r="373" spans="1:20" x14ac:dyDescent="0.3">
      <c r="A373" s="17">
        <v>372</v>
      </c>
      <c r="B373" s="3" t="s">
        <v>96</v>
      </c>
      <c r="C373" s="3" t="s">
        <v>40</v>
      </c>
      <c r="D373" s="3" t="s">
        <v>29</v>
      </c>
      <c r="E373" s="3" t="s">
        <v>61</v>
      </c>
      <c r="F373" s="3" t="s">
        <v>24</v>
      </c>
      <c r="G373" s="3" t="s">
        <v>43</v>
      </c>
      <c r="H373" s="3" t="s">
        <v>83</v>
      </c>
      <c r="I373" s="3" t="s">
        <v>38</v>
      </c>
      <c r="J373" s="6">
        <v>2024</v>
      </c>
      <c r="K373" s="3">
        <v>2313.6799999999998</v>
      </c>
      <c r="L373" s="3">
        <v>711423</v>
      </c>
      <c r="M373" s="3">
        <v>8946</v>
      </c>
      <c r="N373" s="3">
        <v>290</v>
      </c>
      <c r="O373" s="3">
        <v>1720.54</v>
      </c>
      <c r="P373" s="9">
        <f t="shared" si="25"/>
        <v>1.257479727250876</v>
      </c>
      <c r="Q373" s="11">
        <f t="shared" si="26"/>
        <v>0.19232506147999107</v>
      </c>
      <c r="R373" s="13">
        <f t="shared" si="27"/>
        <v>5.9328965517241379</v>
      </c>
      <c r="S373" s="4">
        <f t="shared" si="28"/>
        <v>1.344740604693875</v>
      </c>
      <c r="T373" s="19" t="str">
        <f t="shared" si="29"/>
        <v>🔴 Low</v>
      </c>
    </row>
    <row r="374" spans="1:20" x14ac:dyDescent="0.3">
      <c r="A374" s="16">
        <v>373</v>
      </c>
      <c r="B374" s="1" t="s">
        <v>49</v>
      </c>
      <c r="C374" s="1" t="s">
        <v>21</v>
      </c>
      <c r="D374" s="1" t="s">
        <v>41</v>
      </c>
      <c r="E374" s="1" t="s">
        <v>23</v>
      </c>
      <c r="F374" s="1" t="s">
        <v>47</v>
      </c>
      <c r="G374" s="1" t="s">
        <v>25</v>
      </c>
      <c r="H374" s="1" t="s">
        <v>79</v>
      </c>
      <c r="I374" s="1" t="s">
        <v>45</v>
      </c>
      <c r="J374" s="5">
        <v>2024</v>
      </c>
      <c r="K374" s="1">
        <v>4064.3</v>
      </c>
      <c r="L374" s="1">
        <v>787401</v>
      </c>
      <c r="M374" s="1">
        <v>1987</v>
      </c>
      <c r="N374" s="1">
        <v>198</v>
      </c>
      <c r="O374" s="1">
        <v>2779.41</v>
      </c>
      <c r="P374" s="8">
        <f t="shared" si="25"/>
        <v>0.25234918421490449</v>
      </c>
      <c r="Q374" s="10">
        <f t="shared" si="26"/>
        <v>1.3987971816809259</v>
      </c>
      <c r="R374" s="12">
        <f t="shared" si="27"/>
        <v>14.037424242424242</v>
      </c>
      <c r="S374" s="2">
        <f t="shared" si="28"/>
        <v>1.4622887591251381</v>
      </c>
      <c r="T374" s="18" t="str">
        <f t="shared" si="29"/>
        <v>🔴 Low</v>
      </c>
    </row>
    <row r="375" spans="1:20" x14ac:dyDescent="0.3">
      <c r="A375" s="17">
        <v>374</v>
      </c>
      <c r="B375" s="3" t="s">
        <v>63</v>
      </c>
      <c r="C375" s="3" t="s">
        <v>21</v>
      </c>
      <c r="D375" s="3" t="s">
        <v>13</v>
      </c>
      <c r="E375" s="3" t="s">
        <v>30</v>
      </c>
      <c r="F375" s="3" t="s">
        <v>24</v>
      </c>
      <c r="G375" s="3" t="s">
        <v>25</v>
      </c>
      <c r="H375" s="3" t="s">
        <v>83</v>
      </c>
      <c r="I375" s="3" t="s">
        <v>38</v>
      </c>
      <c r="J375" s="6">
        <v>2024</v>
      </c>
      <c r="K375" s="3">
        <v>3541.91</v>
      </c>
      <c r="L375" s="3">
        <v>116871</v>
      </c>
      <c r="M375" s="3">
        <v>58</v>
      </c>
      <c r="N375" s="3">
        <v>3</v>
      </c>
      <c r="O375" s="3">
        <v>2241.9</v>
      </c>
      <c r="P375" s="9">
        <f t="shared" si="25"/>
        <v>4.9627366925926876E-2</v>
      </c>
      <c r="Q375" s="11">
        <f t="shared" si="26"/>
        <v>38.653448275862068</v>
      </c>
      <c r="R375" s="13">
        <f t="shared" si="27"/>
        <v>747.30000000000007</v>
      </c>
      <c r="S375" s="4">
        <f t="shared" si="28"/>
        <v>1.5798697533342254</v>
      </c>
      <c r="T375" s="19" t="str">
        <f t="shared" si="29"/>
        <v>🔴 Low</v>
      </c>
    </row>
    <row r="376" spans="1:20" x14ac:dyDescent="0.3">
      <c r="A376" s="16">
        <v>375</v>
      </c>
      <c r="B376" s="1" t="s">
        <v>53</v>
      </c>
      <c r="C376" s="1" t="s">
        <v>21</v>
      </c>
      <c r="D376" s="1" t="s">
        <v>29</v>
      </c>
      <c r="E376" s="1" t="s">
        <v>42</v>
      </c>
      <c r="F376" s="1" t="s">
        <v>31</v>
      </c>
      <c r="G376" s="1" t="s">
        <v>57</v>
      </c>
      <c r="H376" s="1" t="s">
        <v>48</v>
      </c>
      <c r="I376" s="1" t="s">
        <v>34</v>
      </c>
      <c r="J376" s="5">
        <v>2024</v>
      </c>
      <c r="K376" s="1">
        <v>12603.02</v>
      </c>
      <c r="L376" s="1">
        <v>521256</v>
      </c>
      <c r="M376" s="1">
        <v>7961</v>
      </c>
      <c r="N376" s="1">
        <v>216</v>
      </c>
      <c r="O376" s="1">
        <v>9016.0499999999993</v>
      </c>
      <c r="P376" s="8">
        <f t="shared" si="25"/>
        <v>1.5272725877495894</v>
      </c>
      <c r="Q376" s="10">
        <f t="shared" si="26"/>
        <v>1.1325273206883557</v>
      </c>
      <c r="R376" s="12">
        <f t="shared" si="27"/>
        <v>41.740972222222219</v>
      </c>
      <c r="S376" s="2">
        <f t="shared" si="28"/>
        <v>1.3978427360096719</v>
      </c>
      <c r="T376" s="18" t="str">
        <f t="shared" si="29"/>
        <v>🟡 Mid</v>
      </c>
    </row>
    <row r="377" spans="1:20" x14ac:dyDescent="0.3">
      <c r="A377" s="17">
        <v>376</v>
      </c>
      <c r="B377" s="3" t="s">
        <v>94</v>
      </c>
      <c r="C377" s="3" t="s">
        <v>36</v>
      </c>
      <c r="D377" s="3" t="s">
        <v>41</v>
      </c>
      <c r="E377" s="3" t="s">
        <v>30</v>
      </c>
      <c r="F377" s="3" t="s">
        <v>31</v>
      </c>
      <c r="G377" s="3" t="s">
        <v>25</v>
      </c>
      <c r="H377" s="3" t="s">
        <v>68</v>
      </c>
      <c r="I377" s="3" t="s">
        <v>27</v>
      </c>
      <c r="J377" s="6">
        <v>2024</v>
      </c>
      <c r="K377" s="3">
        <v>9827.24</v>
      </c>
      <c r="L377" s="3">
        <v>572036</v>
      </c>
      <c r="M377" s="3">
        <v>12492</v>
      </c>
      <c r="N377" s="3">
        <v>782</v>
      </c>
      <c r="O377" s="3">
        <v>7329.76</v>
      </c>
      <c r="P377" s="9">
        <f t="shared" si="25"/>
        <v>2.1837786433021695</v>
      </c>
      <c r="Q377" s="11">
        <f t="shared" si="26"/>
        <v>0.58675632404739031</v>
      </c>
      <c r="R377" s="13">
        <f t="shared" si="27"/>
        <v>9.3730946291560109</v>
      </c>
      <c r="S377" s="4">
        <f t="shared" si="28"/>
        <v>1.340731483704787</v>
      </c>
      <c r="T377" s="19" t="str">
        <f t="shared" si="29"/>
        <v>🟡 Mid</v>
      </c>
    </row>
    <row r="378" spans="1:20" x14ac:dyDescent="0.3">
      <c r="A378" s="16">
        <v>377</v>
      </c>
      <c r="B378" s="1" t="s">
        <v>49</v>
      </c>
      <c r="C378" s="1" t="s">
        <v>21</v>
      </c>
      <c r="D378" s="1" t="s">
        <v>41</v>
      </c>
      <c r="E378" s="1" t="s">
        <v>42</v>
      </c>
      <c r="F378" s="1" t="s">
        <v>31</v>
      </c>
      <c r="G378" s="1" t="s">
        <v>32</v>
      </c>
      <c r="H378" s="1" t="s">
        <v>48</v>
      </c>
      <c r="I378" s="1" t="s">
        <v>34</v>
      </c>
      <c r="J378" s="5">
        <v>2024</v>
      </c>
      <c r="K378" s="1">
        <v>13939.61</v>
      </c>
      <c r="L378" s="1">
        <v>17394</v>
      </c>
      <c r="M378" s="1">
        <v>82</v>
      </c>
      <c r="N378" s="1">
        <v>5</v>
      </c>
      <c r="O378" s="1">
        <v>10480.82</v>
      </c>
      <c r="P378" s="8">
        <f t="shared" si="25"/>
        <v>0.47142692882603193</v>
      </c>
      <c r="Q378" s="10">
        <f t="shared" si="26"/>
        <v>127.81487804878049</v>
      </c>
      <c r="R378" s="12">
        <f t="shared" si="27"/>
        <v>2096.1639999999998</v>
      </c>
      <c r="S378" s="2">
        <f t="shared" si="28"/>
        <v>1.3300113922383936</v>
      </c>
      <c r="T378" s="18" t="str">
        <f t="shared" si="29"/>
        <v>🔴 Low</v>
      </c>
    </row>
    <row r="379" spans="1:20" x14ac:dyDescent="0.3">
      <c r="A379" s="17">
        <v>378</v>
      </c>
      <c r="B379" s="3" t="s">
        <v>92</v>
      </c>
      <c r="C379" s="3" t="s">
        <v>40</v>
      </c>
      <c r="D379" s="3" t="s">
        <v>29</v>
      </c>
      <c r="E379" s="3" t="s">
        <v>23</v>
      </c>
      <c r="F379" s="3" t="s">
        <v>24</v>
      </c>
      <c r="G379" s="3" t="s">
        <v>43</v>
      </c>
      <c r="H379" s="3" t="s">
        <v>48</v>
      </c>
      <c r="I379" s="3" t="s">
        <v>34</v>
      </c>
      <c r="J379" s="6">
        <v>2024</v>
      </c>
      <c r="K379" s="3">
        <v>7635.52</v>
      </c>
      <c r="L379" s="3">
        <v>527998</v>
      </c>
      <c r="M379" s="3">
        <v>6156</v>
      </c>
      <c r="N379" s="3">
        <v>139</v>
      </c>
      <c r="O379" s="3">
        <v>5925.31</v>
      </c>
      <c r="P379" s="9">
        <f t="shared" si="25"/>
        <v>1.1659135072481335</v>
      </c>
      <c r="Q379" s="11">
        <f t="shared" si="26"/>
        <v>0.96252599090318391</v>
      </c>
      <c r="R379" s="13">
        <f t="shared" si="27"/>
        <v>42.628129496402877</v>
      </c>
      <c r="S379" s="4">
        <f t="shared" si="28"/>
        <v>1.2886279367661777</v>
      </c>
      <c r="T379" s="19" t="str">
        <f t="shared" si="29"/>
        <v>🔴 Low</v>
      </c>
    </row>
    <row r="380" spans="1:20" x14ac:dyDescent="0.3">
      <c r="A380" s="16">
        <v>379</v>
      </c>
      <c r="B380" s="1" t="s">
        <v>100</v>
      </c>
      <c r="C380" s="1" t="s">
        <v>40</v>
      </c>
      <c r="D380" s="1" t="s">
        <v>41</v>
      </c>
      <c r="E380" s="1" t="s">
        <v>23</v>
      </c>
      <c r="F380" s="1" t="s">
        <v>47</v>
      </c>
      <c r="G380" s="1" t="s">
        <v>25</v>
      </c>
      <c r="H380" s="1" t="s">
        <v>79</v>
      </c>
      <c r="I380" s="1" t="s">
        <v>45</v>
      </c>
      <c r="J380" s="5">
        <v>2023</v>
      </c>
      <c r="K380" s="1">
        <v>19595.810000000001</v>
      </c>
      <c r="L380" s="1">
        <v>724335</v>
      </c>
      <c r="M380" s="1">
        <v>11812</v>
      </c>
      <c r="N380" s="1">
        <v>963</v>
      </c>
      <c r="O380" s="1">
        <v>13698.22</v>
      </c>
      <c r="P380" s="8">
        <f t="shared" si="25"/>
        <v>1.6307371589112774</v>
      </c>
      <c r="Q380" s="10">
        <f t="shared" si="26"/>
        <v>1.1596867592279039</v>
      </c>
      <c r="R380" s="12">
        <f t="shared" si="27"/>
        <v>14.224527518172378</v>
      </c>
      <c r="S380" s="2">
        <f t="shared" si="28"/>
        <v>1.4305369602765909</v>
      </c>
      <c r="T380" s="18" t="str">
        <f t="shared" si="29"/>
        <v>🟡 Mid</v>
      </c>
    </row>
    <row r="381" spans="1:20" x14ac:dyDescent="0.3">
      <c r="A381" s="17">
        <v>380</v>
      </c>
      <c r="B381" s="3" t="s">
        <v>80</v>
      </c>
      <c r="C381" s="3" t="s">
        <v>40</v>
      </c>
      <c r="D381" s="3" t="s">
        <v>46</v>
      </c>
      <c r="E381" s="3" t="s">
        <v>30</v>
      </c>
      <c r="F381" s="3" t="s">
        <v>31</v>
      </c>
      <c r="G381" s="3" t="s">
        <v>25</v>
      </c>
      <c r="H381" s="3" t="s">
        <v>48</v>
      </c>
      <c r="I381" s="3" t="s">
        <v>34</v>
      </c>
      <c r="J381" s="6">
        <v>2023</v>
      </c>
      <c r="K381" s="3">
        <v>3943.84</v>
      </c>
      <c r="L381" s="3">
        <v>528866</v>
      </c>
      <c r="M381" s="3">
        <v>9663</v>
      </c>
      <c r="N381" s="3">
        <v>464</v>
      </c>
      <c r="O381" s="3">
        <v>3845.93</v>
      </c>
      <c r="P381" s="9">
        <f t="shared" si="25"/>
        <v>1.8271168878317003</v>
      </c>
      <c r="Q381" s="11">
        <f t="shared" si="26"/>
        <v>0.39800579530166613</v>
      </c>
      <c r="R381" s="13">
        <f t="shared" si="27"/>
        <v>8.2886422413793106</v>
      </c>
      <c r="S381" s="4">
        <f t="shared" si="28"/>
        <v>1.0254580816603527</v>
      </c>
      <c r="T381" s="19" t="str">
        <f t="shared" si="29"/>
        <v>🟡 Mid</v>
      </c>
    </row>
    <row r="382" spans="1:20" x14ac:dyDescent="0.3">
      <c r="A382" s="16">
        <v>381</v>
      </c>
      <c r="B382" s="1" t="s">
        <v>95</v>
      </c>
      <c r="C382" s="1" t="s">
        <v>21</v>
      </c>
      <c r="D382" s="1" t="s">
        <v>41</v>
      </c>
      <c r="E382" s="1" t="s">
        <v>23</v>
      </c>
      <c r="F382" s="1" t="s">
        <v>47</v>
      </c>
      <c r="G382" s="1" t="s">
        <v>32</v>
      </c>
      <c r="H382" s="1" t="s">
        <v>79</v>
      </c>
      <c r="I382" s="1" t="s">
        <v>45</v>
      </c>
      <c r="J382" s="5">
        <v>2023</v>
      </c>
      <c r="K382" s="1">
        <v>8268.84</v>
      </c>
      <c r="L382" s="1">
        <v>729087</v>
      </c>
      <c r="M382" s="1">
        <v>6419</v>
      </c>
      <c r="N382" s="1">
        <v>515</v>
      </c>
      <c r="O382" s="1">
        <v>7874.98</v>
      </c>
      <c r="P382" s="8">
        <f t="shared" si="25"/>
        <v>0.88041619175763675</v>
      </c>
      <c r="Q382" s="10">
        <f t="shared" si="26"/>
        <v>1.226823492755881</v>
      </c>
      <c r="R382" s="12">
        <f t="shared" si="27"/>
        <v>15.291223300970874</v>
      </c>
      <c r="S382" s="2">
        <f t="shared" si="28"/>
        <v>1.0500140952738928</v>
      </c>
      <c r="T382" s="18" t="str">
        <f t="shared" si="29"/>
        <v>🔴 Low</v>
      </c>
    </row>
    <row r="383" spans="1:20" x14ac:dyDescent="0.3">
      <c r="A383" s="17">
        <v>382</v>
      </c>
      <c r="B383" s="3" t="s">
        <v>86</v>
      </c>
      <c r="C383" s="3" t="s">
        <v>36</v>
      </c>
      <c r="D383" s="3" t="s">
        <v>13</v>
      </c>
      <c r="E383" s="3" t="s">
        <v>23</v>
      </c>
      <c r="F383" s="3" t="s">
        <v>47</v>
      </c>
      <c r="G383" s="3" t="s">
        <v>43</v>
      </c>
      <c r="H383" s="3" t="s">
        <v>81</v>
      </c>
      <c r="I383" s="3" t="s">
        <v>34</v>
      </c>
      <c r="J383" s="6">
        <v>2024</v>
      </c>
      <c r="K383" s="3">
        <v>7210.74</v>
      </c>
      <c r="L383" s="3">
        <v>436762</v>
      </c>
      <c r="M383" s="3">
        <v>13530</v>
      </c>
      <c r="N383" s="3">
        <v>791</v>
      </c>
      <c r="O383" s="3">
        <v>6953.28</v>
      </c>
      <c r="P383" s="9">
        <f t="shared" si="25"/>
        <v>3.0977969695165788</v>
      </c>
      <c r="Q383" s="11">
        <f t="shared" si="26"/>
        <v>0.5139157427937916</v>
      </c>
      <c r="R383" s="13">
        <f t="shared" si="27"/>
        <v>8.7904930467762323</v>
      </c>
      <c r="S383" s="4">
        <f t="shared" si="28"/>
        <v>1.0370271296424134</v>
      </c>
      <c r="T383" s="19" t="str">
        <f t="shared" si="29"/>
        <v>🟢 High</v>
      </c>
    </row>
    <row r="384" spans="1:20" x14ac:dyDescent="0.3">
      <c r="A384" s="16">
        <v>383</v>
      </c>
      <c r="B384" s="1" t="s">
        <v>63</v>
      </c>
      <c r="C384" s="1" t="s">
        <v>21</v>
      </c>
      <c r="D384" s="1" t="s">
        <v>29</v>
      </c>
      <c r="E384" s="1" t="s">
        <v>61</v>
      </c>
      <c r="F384" s="1" t="s">
        <v>31</v>
      </c>
      <c r="G384" s="1" t="s">
        <v>32</v>
      </c>
      <c r="H384" s="1" t="s">
        <v>26</v>
      </c>
      <c r="I384" s="1" t="s">
        <v>27</v>
      </c>
      <c r="J384" s="5">
        <v>2024</v>
      </c>
      <c r="K384" s="1">
        <v>7424.63</v>
      </c>
      <c r="L384" s="1">
        <v>710893</v>
      </c>
      <c r="M384" s="1">
        <v>355</v>
      </c>
      <c r="N384" s="1">
        <v>8</v>
      </c>
      <c r="O384" s="1">
        <v>4699.28</v>
      </c>
      <c r="P384" s="8">
        <f t="shared" si="25"/>
        <v>4.9937191673008453E-2</v>
      </c>
      <c r="Q384" s="10">
        <f t="shared" si="26"/>
        <v>13.237408450704224</v>
      </c>
      <c r="R384" s="12">
        <f t="shared" si="27"/>
        <v>587.41</v>
      </c>
      <c r="S384" s="2">
        <f t="shared" si="28"/>
        <v>1.5799505456154987</v>
      </c>
      <c r="T384" s="18" t="str">
        <f t="shared" si="29"/>
        <v>🔴 Low</v>
      </c>
    </row>
    <row r="385" spans="1:20" x14ac:dyDescent="0.3">
      <c r="A385" s="17">
        <v>384</v>
      </c>
      <c r="B385" s="3" t="s">
        <v>59</v>
      </c>
      <c r="C385" s="3" t="s">
        <v>21</v>
      </c>
      <c r="D385" s="3" t="s">
        <v>41</v>
      </c>
      <c r="E385" s="3" t="s">
        <v>30</v>
      </c>
      <c r="F385" s="3" t="s">
        <v>24</v>
      </c>
      <c r="G385" s="3" t="s">
        <v>43</v>
      </c>
      <c r="H385" s="3" t="s">
        <v>33</v>
      </c>
      <c r="I385" s="3" t="s">
        <v>34</v>
      </c>
      <c r="J385" s="6">
        <v>2024</v>
      </c>
      <c r="K385" s="3">
        <v>17053.57</v>
      </c>
      <c r="L385" s="3">
        <v>79809</v>
      </c>
      <c r="M385" s="3">
        <v>513</v>
      </c>
      <c r="N385" s="3">
        <v>34</v>
      </c>
      <c r="O385" s="3">
        <v>12693.36</v>
      </c>
      <c r="P385" s="9">
        <f t="shared" si="25"/>
        <v>0.6427846483479307</v>
      </c>
      <c r="Q385" s="11">
        <f t="shared" si="26"/>
        <v>24.743391812865497</v>
      </c>
      <c r="R385" s="13">
        <f t="shared" si="27"/>
        <v>373.33411764705886</v>
      </c>
      <c r="S385" s="4">
        <f t="shared" si="28"/>
        <v>1.3435032174302155</v>
      </c>
      <c r="T385" s="19" t="str">
        <f t="shared" si="29"/>
        <v>🔴 Low</v>
      </c>
    </row>
    <row r="386" spans="1:20" x14ac:dyDescent="0.3">
      <c r="A386" s="16">
        <v>385</v>
      </c>
      <c r="B386" s="1" t="s">
        <v>96</v>
      </c>
      <c r="C386" s="1" t="s">
        <v>40</v>
      </c>
      <c r="D386" s="1" t="s">
        <v>13</v>
      </c>
      <c r="E386" s="1" t="s">
        <v>23</v>
      </c>
      <c r="F386" s="1" t="s">
        <v>31</v>
      </c>
      <c r="G386" s="1" t="s">
        <v>50</v>
      </c>
      <c r="H386" s="1" t="s">
        <v>52</v>
      </c>
      <c r="I386" s="1" t="s">
        <v>38</v>
      </c>
      <c r="J386" s="5">
        <v>2024</v>
      </c>
      <c r="K386" s="1">
        <v>15728.99</v>
      </c>
      <c r="L386" s="1">
        <v>385805</v>
      </c>
      <c r="M386" s="1">
        <v>6141</v>
      </c>
      <c r="N386" s="1">
        <v>500</v>
      </c>
      <c r="O386" s="1">
        <v>10542.73</v>
      </c>
      <c r="P386" s="8">
        <f t="shared" ref="P386:P449" si="30">IFERROR(M386/L386*100,0)</f>
        <v>1.5917367582068662</v>
      </c>
      <c r="Q386" s="10">
        <f t="shared" ref="Q386:Q449" si="31">IFERROR(O386/M386,0)</f>
        <v>1.7167773978179448</v>
      </c>
      <c r="R386" s="12">
        <f t="shared" ref="R386:R449" si="32">IFERROR(O386/N386,"-")</f>
        <v>21.085459999999998</v>
      </c>
      <c r="S386" s="2">
        <f t="shared" ref="S386:S449" si="33">IFERROR(K386/O386,0)</f>
        <v>1.4919276126771719</v>
      </c>
      <c r="T386" s="18" t="str">
        <f t="shared" ref="T386:T449" si="34">IF(P386&gt;=3,"🟢 High",IF(P386&gt;=1.5,"🟡 Mid","🔴 Low"))</f>
        <v>🟡 Mid</v>
      </c>
    </row>
    <row r="387" spans="1:20" x14ac:dyDescent="0.3">
      <c r="A387" s="17">
        <v>386</v>
      </c>
      <c r="B387" s="3" t="s">
        <v>55</v>
      </c>
      <c r="C387" s="3" t="s">
        <v>36</v>
      </c>
      <c r="D387" s="3" t="s">
        <v>46</v>
      </c>
      <c r="E387" s="3" t="s">
        <v>23</v>
      </c>
      <c r="F387" s="3" t="s">
        <v>31</v>
      </c>
      <c r="G387" s="3" t="s">
        <v>57</v>
      </c>
      <c r="H387" s="3" t="s">
        <v>83</v>
      </c>
      <c r="I387" s="3" t="s">
        <v>38</v>
      </c>
      <c r="J387" s="6">
        <v>2023</v>
      </c>
      <c r="K387" s="3">
        <v>8242.39</v>
      </c>
      <c r="L387" s="3">
        <v>105195</v>
      </c>
      <c r="M387" s="3">
        <v>2307</v>
      </c>
      <c r="N387" s="3">
        <v>101</v>
      </c>
      <c r="O387" s="3">
        <v>7987.29</v>
      </c>
      <c r="P387" s="9">
        <f t="shared" si="30"/>
        <v>2.1930700128333096</v>
      </c>
      <c r="Q387" s="11">
        <f t="shared" si="31"/>
        <v>3.4621976592977894</v>
      </c>
      <c r="R387" s="13">
        <f t="shared" si="32"/>
        <v>79.082079207920785</v>
      </c>
      <c r="S387" s="4">
        <f t="shared" si="33"/>
        <v>1.0319382418817897</v>
      </c>
      <c r="T387" s="19" t="str">
        <f t="shared" si="34"/>
        <v>🟡 Mid</v>
      </c>
    </row>
    <row r="388" spans="1:20" x14ac:dyDescent="0.3">
      <c r="A388" s="16">
        <v>387</v>
      </c>
      <c r="B388" s="1" t="s">
        <v>62</v>
      </c>
      <c r="C388" s="1" t="s">
        <v>21</v>
      </c>
      <c r="D388" s="1" t="s">
        <v>22</v>
      </c>
      <c r="E388" s="1" t="s">
        <v>56</v>
      </c>
      <c r="F388" s="1" t="s">
        <v>31</v>
      </c>
      <c r="G388" s="1" t="s">
        <v>57</v>
      </c>
      <c r="H388" s="1" t="s">
        <v>58</v>
      </c>
      <c r="I388" s="1" t="s">
        <v>27</v>
      </c>
      <c r="J388" s="5">
        <v>2024</v>
      </c>
      <c r="K388" s="1">
        <v>12552.99</v>
      </c>
      <c r="L388" s="1">
        <v>93406</v>
      </c>
      <c r="M388" s="1">
        <v>106</v>
      </c>
      <c r="N388" s="1">
        <v>1</v>
      </c>
      <c r="O388" s="1">
        <v>8836.1299999999992</v>
      </c>
      <c r="P388" s="8">
        <f t="shared" si="30"/>
        <v>0.11348307389246944</v>
      </c>
      <c r="Q388" s="10">
        <f t="shared" si="31"/>
        <v>83.359716981132067</v>
      </c>
      <c r="R388" s="12">
        <f t="shared" si="32"/>
        <v>8836.1299999999992</v>
      </c>
      <c r="S388" s="2">
        <f t="shared" si="33"/>
        <v>1.4206434264774286</v>
      </c>
      <c r="T388" s="18" t="str">
        <f t="shared" si="34"/>
        <v>🔴 Low</v>
      </c>
    </row>
    <row r="389" spans="1:20" x14ac:dyDescent="0.3">
      <c r="A389" s="17">
        <v>388</v>
      </c>
      <c r="B389" s="3" t="s">
        <v>67</v>
      </c>
      <c r="C389" s="3" t="s">
        <v>40</v>
      </c>
      <c r="D389" s="3" t="s">
        <v>46</v>
      </c>
      <c r="E389" s="3" t="s">
        <v>30</v>
      </c>
      <c r="F389" s="3" t="s">
        <v>31</v>
      </c>
      <c r="G389" s="3" t="s">
        <v>25</v>
      </c>
      <c r="H389" s="3" t="s">
        <v>68</v>
      </c>
      <c r="I389" s="3" t="s">
        <v>27</v>
      </c>
      <c r="J389" s="6">
        <v>2023</v>
      </c>
      <c r="K389" s="3">
        <v>13439.21</v>
      </c>
      <c r="L389" s="3">
        <v>345998</v>
      </c>
      <c r="M389" s="3">
        <v>2559</v>
      </c>
      <c r="N389" s="3">
        <v>235</v>
      </c>
      <c r="O389" s="3">
        <v>10700.58</v>
      </c>
      <c r="P389" s="9">
        <f t="shared" si="30"/>
        <v>0.73959965086503388</v>
      </c>
      <c r="Q389" s="11">
        <f t="shared" si="31"/>
        <v>4.1815474794841734</v>
      </c>
      <c r="R389" s="13">
        <f t="shared" si="32"/>
        <v>45.534382978723407</v>
      </c>
      <c r="S389" s="4">
        <f t="shared" si="33"/>
        <v>1.2559328559760312</v>
      </c>
      <c r="T389" s="19" t="str">
        <f t="shared" si="34"/>
        <v>🔴 Low</v>
      </c>
    </row>
    <row r="390" spans="1:20" x14ac:dyDescent="0.3">
      <c r="A390" s="16">
        <v>389</v>
      </c>
      <c r="B390" s="1" t="s">
        <v>59</v>
      </c>
      <c r="C390" s="1" t="s">
        <v>21</v>
      </c>
      <c r="D390" s="1" t="s">
        <v>29</v>
      </c>
      <c r="E390" s="1" t="s">
        <v>56</v>
      </c>
      <c r="F390" s="1" t="s">
        <v>24</v>
      </c>
      <c r="G390" s="1" t="s">
        <v>32</v>
      </c>
      <c r="H390" s="1" t="s">
        <v>26</v>
      </c>
      <c r="I390" s="1" t="s">
        <v>27</v>
      </c>
      <c r="J390" s="5">
        <v>2024</v>
      </c>
      <c r="K390" s="1">
        <v>12805.43</v>
      </c>
      <c r="L390" s="1">
        <v>671738</v>
      </c>
      <c r="M390" s="1">
        <v>7276</v>
      </c>
      <c r="N390" s="1">
        <v>212</v>
      </c>
      <c r="O390" s="1">
        <v>10554.1</v>
      </c>
      <c r="P390" s="8">
        <f t="shared" si="30"/>
        <v>1.0831603988459786</v>
      </c>
      <c r="Q390" s="10">
        <f t="shared" si="31"/>
        <v>1.4505360087960417</v>
      </c>
      <c r="R390" s="12">
        <f t="shared" si="32"/>
        <v>49.783490566037734</v>
      </c>
      <c r="S390" s="2">
        <f t="shared" si="33"/>
        <v>1.2133133095195232</v>
      </c>
      <c r="T390" s="18" t="str">
        <f t="shared" si="34"/>
        <v>🔴 Low</v>
      </c>
    </row>
    <row r="391" spans="1:20" x14ac:dyDescent="0.3">
      <c r="A391" s="17">
        <v>390</v>
      </c>
      <c r="B391" s="3" t="s">
        <v>66</v>
      </c>
      <c r="C391" s="3" t="s">
        <v>40</v>
      </c>
      <c r="D391" s="3" t="s">
        <v>29</v>
      </c>
      <c r="E391" s="3" t="s">
        <v>30</v>
      </c>
      <c r="F391" s="3" t="s">
        <v>24</v>
      </c>
      <c r="G391" s="3" t="s">
        <v>50</v>
      </c>
      <c r="H391" s="3" t="s">
        <v>52</v>
      </c>
      <c r="I391" s="3" t="s">
        <v>38</v>
      </c>
      <c r="J391" s="6">
        <v>2024</v>
      </c>
      <c r="K391" s="3">
        <v>8537.9699999999993</v>
      </c>
      <c r="L391" s="3">
        <v>168281</v>
      </c>
      <c r="M391" s="3">
        <v>2065</v>
      </c>
      <c r="N391" s="3">
        <v>39</v>
      </c>
      <c r="O391" s="3">
        <v>5123.1099999999997</v>
      </c>
      <c r="P391" s="9">
        <f t="shared" si="30"/>
        <v>1.2271141721287608</v>
      </c>
      <c r="Q391" s="11">
        <f t="shared" si="31"/>
        <v>2.4809249394673123</v>
      </c>
      <c r="R391" s="13">
        <f t="shared" si="32"/>
        <v>131.36179487179487</v>
      </c>
      <c r="S391" s="4">
        <f t="shared" si="33"/>
        <v>1.6665599606489028</v>
      </c>
      <c r="T391" s="19" t="str">
        <f t="shared" si="34"/>
        <v>🔴 Low</v>
      </c>
    </row>
    <row r="392" spans="1:20" x14ac:dyDescent="0.3">
      <c r="A392" s="16">
        <v>391</v>
      </c>
      <c r="B392" s="1" t="s">
        <v>72</v>
      </c>
      <c r="C392" s="1" t="s">
        <v>36</v>
      </c>
      <c r="D392" s="1" t="s">
        <v>13</v>
      </c>
      <c r="E392" s="1" t="s">
        <v>56</v>
      </c>
      <c r="F392" s="1" t="s">
        <v>31</v>
      </c>
      <c r="G392" s="1" t="s">
        <v>57</v>
      </c>
      <c r="H392" s="1" t="s">
        <v>54</v>
      </c>
      <c r="I392" s="1" t="s">
        <v>45</v>
      </c>
      <c r="J392" s="5">
        <v>2024</v>
      </c>
      <c r="K392" s="1">
        <v>18965.669999999998</v>
      </c>
      <c r="L392" s="1">
        <v>505241</v>
      </c>
      <c r="M392" s="1">
        <v>12826</v>
      </c>
      <c r="N392" s="1">
        <v>1357</v>
      </c>
      <c r="O392" s="1">
        <v>16134.88</v>
      </c>
      <c r="P392" s="8">
        <f t="shared" si="30"/>
        <v>2.5385904944373081</v>
      </c>
      <c r="Q392" s="10">
        <f t="shared" si="31"/>
        <v>1.2579822236082956</v>
      </c>
      <c r="R392" s="12">
        <f t="shared" si="32"/>
        <v>11.890110537951363</v>
      </c>
      <c r="S392" s="2">
        <f t="shared" si="33"/>
        <v>1.1754453705264618</v>
      </c>
      <c r="T392" s="18" t="str">
        <f t="shared" si="34"/>
        <v>🟡 Mid</v>
      </c>
    </row>
    <row r="393" spans="1:20" x14ac:dyDescent="0.3">
      <c r="A393" s="17">
        <v>392</v>
      </c>
      <c r="B393" s="3" t="s">
        <v>99</v>
      </c>
      <c r="C393" s="3" t="s">
        <v>36</v>
      </c>
      <c r="D393" s="3" t="s">
        <v>46</v>
      </c>
      <c r="E393" s="3" t="s">
        <v>56</v>
      </c>
      <c r="F393" s="3" t="s">
        <v>31</v>
      </c>
      <c r="G393" s="3" t="s">
        <v>50</v>
      </c>
      <c r="H393" s="3" t="s">
        <v>33</v>
      </c>
      <c r="I393" s="3" t="s">
        <v>34</v>
      </c>
      <c r="J393" s="6">
        <v>2023</v>
      </c>
      <c r="K393" s="3">
        <v>3683.76</v>
      </c>
      <c r="L393" s="3">
        <v>777924</v>
      </c>
      <c r="M393" s="3">
        <v>28090</v>
      </c>
      <c r="N393" s="3">
        <v>2212</v>
      </c>
      <c r="O393" s="3">
        <v>3491.98</v>
      </c>
      <c r="P393" s="9">
        <f t="shared" si="30"/>
        <v>3.6108925807662442</v>
      </c>
      <c r="Q393" s="11">
        <f t="shared" si="31"/>
        <v>0.12431399074403703</v>
      </c>
      <c r="R393" s="13">
        <f t="shared" si="32"/>
        <v>1.5786528028933093</v>
      </c>
      <c r="S393" s="4">
        <f t="shared" si="33"/>
        <v>1.0549201312722296</v>
      </c>
      <c r="T393" s="19" t="str">
        <f t="shared" si="34"/>
        <v>🟢 High</v>
      </c>
    </row>
    <row r="394" spans="1:20" x14ac:dyDescent="0.3">
      <c r="A394" s="16">
        <v>393</v>
      </c>
      <c r="B394" s="1" t="s">
        <v>94</v>
      </c>
      <c r="C394" s="1" t="s">
        <v>36</v>
      </c>
      <c r="D394" s="1" t="s">
        <v>22</v>
      </c>
      <c r="E394" s="1" t="s">
        <v>56</v>
      </c>
      <c r="F394" s="1" t="s">
        <v>31</v>
      </c>
      <c r="G394" s="1" t="s">
        <v>25</v>
      </c>
      <c r="H394" s="1" t="s">
        <v>81</v>
      </c>
      <c r="I394" s="1" t="s">
        <v>34</v>
      </c>
      <c r="J394" s="5">
        <v>2024</v>
      </c>
      <c r="K394" s="1">
        <v>6051.2</v>
      </c>
      <c r="L394" s="1">
        <v>784015</v>
      </c>
      <c r="M394" s="1">
        <v>18912</v>
      </c>
      <c r="N394" s="1">
        <v>147</v>
      </c>
      <c r="O394" s="1">
        <v>3804.72</v>
      </c>
      <c r="P394" s="8">
        <f t="shared" si="30"/>
        <v>2.4121987461974581</v>
      </c>
      <c r="Q394" s="10">
        <f t="shared" si="31"/>
        <v>0.20118020304568526</v>
      </c>
      <c r="R394" s="12">
        <f t="shared" si="32"/>
        <v>25.882448979591835</v>
      </c>
      <c r="S394" s="2">
        <f t="shared" si="33"/>
        <v>1.5904455518408713</v>
      </c>
      <c r="T394" s="18" t="str">
        <f t="shared" si="34"/>
        <v>🟡 Mid</v>
      </c>
    </row>
    <row r="395" spans="1:20" x14ac:dyDescent="0.3">
      <c r="A395" s="17">
        <v>394</v>
      </c>
      <c r="B395" s="3" t="s">
        <v>94</v>
      </c>
      <c r="C395" s="3" t="s">
        <v>36</v>
      </c>
      <c r="D395" s="3" t="s">
        <v>22</v>
      </c>
      <c r="E395" s="3" t="s">
        <v>56</v>
      </c>
      <c r="F395" s="3" t="s">
        <v>31</v>
      </c>
      <c r="G395" s="3" t="s">
        <v>50</v>
      </c>
      <c r="H395" s="3" t="s">
        <v>52</v>
      </c>
      <c r="I395" s="3" t="s">
        <v>38</v>
      </c>
      <c r="J395" s="6">
        <v>2024</v>
      </c>
      <c r="K395" s="3">
        <v>4161.8900000000003</v>
      </c>
      <c r="L395" s="3">
        <v>25337</v>
      </c>
      <c r="M395" s="3">
        <v>689</v>
      </c>
      <c r="N395" s="3">
        <v>5</v>
      </c>
      <c r="O395" s="3">
        <v>4192.1899999999996</v>
      </c>
      <c r="P395" s="9">
        <f t="shared" si="30"/>
        <v>2.7193432529502308</v>
      </c>
      <c r="Q395" s="11">
        <f t="shared" si="31"/>
        <v>6.0844557329462985</v>
      </c>
      <c r="R395" s="13">
        <f t="shared" si="32"/>
        <v>838.43799999999987</v>
      </c>
      <c r="S395" s="4">
        <f t="shared" si="33"/>
        <v>0.99277227415742142</v>
      </c>
      <c r="T395" s="19" t="str">
        <f t="shared" si="34"/>
        <v>🟡 Mid</v>
      </c>
    </row>
    <row r="396" spans="1:20" x14ac:dyDescent="0.3">
      <c r="A396" s="16">
        <v>395</v>
      </c>
      <c r="B396" s="1" t="s">
        <v>65</v>
      </c>
      <c r="C396" s="1" t="s">
        <v>36</v>
      </c>
      <c r="D396" s="1" t="s">
        <v>22</v>
      </c>
      <c r="E396" s="1" t="s">
        <v>23</v>
      </c>
      <c r="F396" s="1" t="s">
        <v>47</v>
      </c>
      <c r="G396" s="1" t="s">
        <v>25</v>
      </c>
      <c r="H396" s="1" t="s">
        <v>54</v>
      </c>
      <c r="I396" s="1" t="s">
        <v>45</v>
      </c>
      <c r="J396" s="5">
        <v>2024</v>
      </c>
      <c r="K396" s="1">
        <v>14678.59</v>
      </c>
      <c r="L396" s="1">
        <v>249119</v>
      </c>
      <c r="M396" s="1">
        <v>7156</v>
      </c>
      <c r="N396" s="1">
        <v>59</v>
      </c>
      <c r="O396" s="1">
        <v>11397.96</v>
      </c>
      <c r="P396" s="8">
        <f t="shared" si="30"/>
        <v>2.8725227702423339</v>
      </c>
      <c r="Q396" s="10">
        <f t="shared" si="31"/>
        <v>1.5927836780324203</v>
      </c>
      <c r="R396" s="12">
        <f t="shared" si="32"/>
        <v>193.18576271186438</v>
      </c>
      <c r="S396" s="2">
        <f t="shared" si="33"/>
        <v>1.2878260671207831</v>
      </c>
      <c r="T396" s="18" t="str">
        <f t="shared" si="34"/>
        <v>🟡 Mid</v>
      </c>
    </row>
    <row r="397" spans="1:20" x14ac:dyDescent="0.3">
      <c r="A397" s="17">
        <v>396</v>
      </c>
      <c r="B397" s="3" t="s">
        <v>100</v>
      </c>
      <c r="C397" s="3" t="s">
        <v>40</v>
      </c>
      <c r="D397" s="3" t="s">
        <v>41</v>
      </c>
      <c r="E397" s="3" t="s">
        <v>42</v>
      </c>
      <c r="F397" s="3" t="s">
        <v>47</v>
      </c>
      <c r="G397" s="3" t="s">
        <v>57</v>
      </c>
      <c r="H397" s="3" t="s">
        <v>26</v>
      </c>
      <c r="I397" s="3" t="s">
        <v>27</v>
      </c>
      <c r="J397" s="6">
        <v>2023</v>
      </c>
      <c r="K397" s="3">
        <v>5696.82</v>
      </c>
      <c r="L397" s="3">
        <v>416484</v>
      </c>
      <c r="M397" s="3">
        <v>6856</v>
      </c>
      <c r="N397" s="3">
        <v>450</v>
      </c>
      <c r="O397" s="3">
        <v>4543</v>
      </c>
      <c r="P397" s="9">
        <f t="shared" si="30"/>
        <v>1.6461616772793193</v>
      </c>
      <c r="Q397" s="11">
        <f t="shared" si="31"/>
        <v>0.66263127187864646</v>
      </c>
      <c r="R397" s="13">
        <f t="shared" si="32"/>
        <v>10.095555555555556</v>
      </c>
      <c r="S397" s="4">
        <f t="shared" si="33"/>
        <v>1.2539775478758528</v>
      </c>
      <c r="T397" s="19" t="str">
        <f t="shared" si="34"/>
        <v>🟡 Mid</v>
      </c>
    </row>
    <row r="398" spans="1:20" x14ac:dyDescent="0.3">
      <c r="A398" s="16">
        <v>397</v>
      </c>
      <c r="B398" s="1" t="s">
        <v>94</v>
      </c>
      <c r="C398" s="1" t="s">
        <v>36</v>
      </c>
      <c r="D398" s="1" t="s">
        <v>41</v>
      </c>
      <c r="E398" s="1" t="s">
        <v>42</v>
      </c>
      <c r="F398" s="1" t="s">
        <v>24</v>
      </c>
      <c r="G398" s="1" t="s">
        <v>25</v>
      </c>
      <c r="H398" s="1" t="s">
        <v>33</v>
      </c>
      <c r="I398" s="1" t="s">
        <v>34</v>
      </c>
      <c r="J398" s="5">
        <v>2024</v>
      </c>
      <c r="K398" s="1">
        <v>5319.66</v>
      </c>
      <c r="L398" s="1">
        <v>40138</v>
      </c>
      <c r="M398" s="1">
        <v>1226</v>
      </c>
      <c r="N398" s="1">
        <v>82</v>
      </c>
      <c r="O398" s="1">
        <v>4679.83</v>
      </c>
      <c r="P398" s="8">
        <f t="shared" si="30"/>
        <v>3.0544621057352135</v>
      </c>
      <c r="Q398" s="10">
        <f t="shared" si="31"/>
        <v>3.8171533442088093</v>
      </c>
      <c r="R398" s="12">
        <f t="shared" si="32"/>
        <v>57.071097560975609</v>
      </c>
      <c r="S398" s="2">
        <f t="shared" si="33"/>
        <v>1.1367207783188706</v>
      </c>
      <c r="T398" s="18" t="str">
        <f t="shared" si="34"/>
        <v>🟢 High</v>
      </c>
    </row>
    <row r="399" spans="1:20" x14ac:dyDescent="0.3">
      <c r="A399" s="17">
        <v>398</v>
      </c>
      <c r="B399" s="3" t="s">
        <v>89</v>
      </c>
      <c r="C399" s="3" t="s">
        <v>36</v>
      </c>
      <c r="D399" s="3" t="s">
        <v>41</v>
      </c>
      <c r="E399" s="3" t="s">
        <v>23</v>
      </c>
      <c r="F399" s="3" t="s">
        <v>47</v>
      </c>
      <c r="G399" s="3" t="s">
        <v>25</v>
      </c>
      <c r="H399" s="3" t="s">
        <v>44</v>
      </c>
      <c r="I399" s="3" t="s">
        <v>45</v>
      </c>
      <c r="J399" s="6">
        <v>2023</v>
      </c>
      <c r="K399" s="3">
        <v>15022.13</v>
      </c>
      <c r="L399" s="3">
        <v>581276</v>
      </c>
      <c r="M399" s="3">
        <v>20775</v>
      </c>
      <c r="N399" s="3">
        <v>2112</v>
      </c>
      <c r="O399" s="3">
        <v>10611.5</v>
      </c>
      <c r="P399" s="9">
        <f t="shared" si="30"/>
        <v>3.5740336776333446</v>
      </c>
      <c r="Q399" s="11">
        <f t="shared" si="31"/>
        <v>0.51078219013237058</v>
      </c>
      <c r="R399" s="13">
        <f t="shared" si="32"/>
        <v>5.0243844696969697</v>
      </c>
      <c r="S399" s="4">
        <f t="shared" si="33"/>
        <v>1.4156462328605757</v>
      </c>
      <c r="T399" s="19" t="str">
        <f t="shared" si="34"/>
        <v>🟢 High</v>
      </c>
    </row>
    <row r="400" spans="1:20" x14ac:dyDescent="0.3">
      <c r="A400" s="16">
        <v>399</v>
      </c>
      <c r="B400" s="1" t="s">
        <v>73</v>
      </c>
      <c r="C400" s="1" t="s">
        <v>21</v>
      </c>
      <c r="D400" s="1" t="s">
        <v>46</v>
      </c>
      <c r="E400" s="1" t="s">
        <v>23</v>
      </c>
      <c r="F400" s="1" t="s">
        <v>24</v>
      </c>
      <c r="G400" s="1" t="s">
        <v>25</v>
      </c>
      <c r="H400" s="1" t="s">
        <v>58</v>
      </c>
      <c r="I400" s="1" t="s">
        <v>27</v>
      </c>
      <c r="J400" s="5">
        <v>2023</v>
      </c>
      <c r="K400" s="1">
        <v>12841.72</v>
      </c>
      <c r="L400" s="1">
        <v>345277</v>
      </c>
      <c r="M400" s="1">
        <v>5473</v>
      </c>
      <c r="N400" s="1">
        <v>410</v>
      </c>
      <c r="O400" s="1">
        <v>9839.83</v>
      </c>
      <c r="P400" s="8">
        <f t="shared" si="30"/>
        <v>1.5851041337824414</v>
      </c>
      <c r="Q400" s="10">
        <f t="shared" si="31"/>
        <v>1.7978859857482186</v>
      </c>
      <c r="R400" s="12">
        <f t="shared" si="32"/>
        <v>23.999585365853658</v>
      </c>
      <c r="S400" s="2">
        <f t="shared" si="33"/>
        <v>1.3050753925626764</v>
      </c>
      <c r="T400" s="18" t="str">
        <f t="shared" si="34"/>
        <v>🟡 Mid</v>
      </c>
    </row>
    <row r="401" spans="1:20" x14ac:dyDescent="0.3">
      <c r="A401" s="17">
        <v>400</v>
      </c>
      <c r="B401" s="3" t="s">
        <v>98</v>
      </c>
      <c r="C401" s="3" t="s">
        <v>36</v>
      </c>
      <c r="D401" s="3" t="s">
        <v>22</v>
      </c>
      <c r="E401" s="3" t="s">
        <v>61</v>
      </c>
      <c r="F401" s="3" t="s">
        <v>31</v>
      </c>
      <c r="G401" s="3" t="s">
        <v>50</v>
      </c>
      <c r="H401" s="3" t="s">
        <v>54</v>
      </c>
      <c r="I401" s="3" t="s">
        <v>45</v>
      </c>
      <c r="J401" s="6">
        <v>2023</v>
      </c>
      <c r="K401" s="3">
        <v>7742.27</v>
      </c>
      <c r="L401" s="3">
        <v>98826</v>
      </c>
      <c r="M401" s="3">
        <v>2850</v>
      </c>
      <c r="N401" s="3">
        <v>24</v>
      </c>
      <c r="O401" s="3">
        <v>6270.98</v>
      </c>
      <c r="P401" s="9">
        <f t="shared" si="30"/>
        <v>2.883856475016696</v>
      </c>
      <c r="Q401" s="11">
        <f t="shared" si="31"/>
        <v>2.2003438596491227</v>
      </c>
      <c r="R401" s="13">
        <f t="shared" si="32"/>
        <v>261.2908333333333</v>
      </c>
      <c r="S401" s="4">
        <f t="shared" si="33"/>
        <v>1.2346188315063995</v>
      </c>
      <c r="T401" s="19" t="str">
        <f t="shared" si="34"/>
        <v>🟡 Mid</v>
      </c>
    </row>
    <row r="402" spans="1:20" x14ac:dyDescent="0.3">
      <c r="A402" s="16">
        <v>401</v>
      </c>
      <c r="B402" s="1" t="s">
        <v>95</v>
      </c>
      <c r="C402" s="1" t="s">
        <v>21</v>
      </c>
      <c r="D402" s="1" t="s">
        <v>22</v>
      </c>
      <c r="E402" s="1" t="s">
        <v>42</v>
      </c>
      <c r="F402" s="1" t="s">
        <v>47</v>
      </c>
      <c r="G402" s="1" t="s">
        <v>25</v>
      </c>
      <c r="H402" s="1" t="s">
        <v>54</v>
      </c>
      <c r="I402" s="1" t="s">
        <v>45</v>
      </c>
      <c r="J402" s="5">
        <v>2023</v>
      </c>
      <c r="K402" s="1">
        <v>2953.64</v>
      </c>
      <c r="L402" s="1">
        <v>248977</v>
      </c>
      <c r="M402" s="1">
        <v>1094</v>
      </c>
      <c r="N402" s="1">
        <v>16</v>
      </c>
      <c r="O402" s="1">
        <v>2203.04</v>
      </c>
      <c r="P402" s="8">
        <f t="shared" si="30"/>
        <v>0.43939801668427209</v>
      </c>
      <c r="Q402" s="10">
        <f t="shared" si="31"/>
        <v>2.0137477148080438</v>
      </c>
      <c r="R402" s="12">
        <f t="shared" si="32"/>
        <v>137.69</v>
      </c>
      <c r="S402" s="2">
        <f t="shared" si="33"/>
        <v>1.3407110175030865</v>
      </c>
      <c r="T402" s="18" t="str">
        <f t="shared" si="34"/>
        <v>🔴 Low</v>
      </c>
    </row>
    <row r="403" spans="1:20" x14ac:dyDescent="0.3">
      <c r="A403" s="17">
        <v>402</v>
      </c>
      <c r="B403" s="3" t="s">
        <v>84</v>
      </c>
      <c r="C403" s="3" t="s">
        <v>40</v>
      </c>
      <c r="D403" s="3" t="s">
        <v>22</v>
      </c>
      <c r="E403" s="3" t="s">
        <v>56</v>
      </c>
      <c r="F403" s="3" t="s">
        <v>47</v>
      </c>
      <c r="G403" s="3" t="s">
        <v>25</v>
      </c>
      <c r="H403" s="3" t="s">
        <v>52</v>
      </c>
      <c r="I403" s="3" t="s">
        <v>38</v>
      </c>
      <c r="J403" s="6">
        <v>2023</v>
      </c>
      <c r="K403" s="3">
        <v>9963.39</v>
      </c>
      <c r="L403" s="3">
        <v>463752</v>
      </c>
      <c r="M403" s="3">
        <v>10127</v>
      </c>
      <c r="N403" s="3">
        <v>135</v>
      </c>
      <c r="O403" s="3">
        <v>8249.17</v>
      </c>
      <c r="P403" s="9">
        <f t="shared" si="30"/>
        <v>2.1837102589314981</v>
      </c>
      <c r="Q403" s="11">
        <f t="shared" si="31"/>
        <v>0.81457193640762315</v>
      </c>
      <c r="R403" s="13">
        <f t="shared" si="32"/>
        <v>61.104962962962965</v>
      </c>
      <c r="S403" s="4">
        <f t="shared" si="33"/>
        <v>1.207805148881645</v>
      </c>
      <c r="T403" s="19" t="str">
        <f t="shared" si="34"/>
        <v>🟡 Mid</v>
      </c>
    </row>
    <row r="404" spans="1:20" x14ac:dyDescent="0.3">
      <c r="A404" s="16">
        <v>403</v>
      </c>
      <c r="B404" s="1" t="s">
        <v>87</v>
      </c>
      <c r="C404" s="1" t="s">
        <v>40</v>
      </c>
      <c r="D404" s="1" t="s">
        <v>29</v>
      </c>
      <c r="E404" s="1" t="s">
        <v>30</v>
      </c>
      <c r="F404" s="1" t="s">
        <v>31</v>
      </c>
      <c r="G404" s="1" t="s">
        <v>43</v>
      </c>
      <c r="H404" s="1" t="s">
        <v>37</v>
      </c>
      <c r="I404" s="1" t="s">
        <v>38</v>
      </c>
      <c r="J404" s="5">
        <v>2024</v>
      </c>
      <c r="K404" s="1">
        <v>5868.83</v>
      </c>
      <c r="L404" s="1">
        <v>632761</v>
      </c>
      <c r="M404" s="1">
        <v>13580</v>
      </c>
      <c r="N404" s="1">
        <v>163</v>
      </c>
      <c r="O404" s="1">
        <v>3903.42</v>
      </c>
      <c r="P404" s="8">
        <f t="shared" si="30"/>
        <v>2.146149968155433</v>
      </c>
      <c r="Q404" s="10">
        <f t="shared" si="31"/>
        <v>0.28743888070692197</v>
      </c>
      <c r="R404" s="12">
        <f t="shared" si="32"/>
        <v>23.947361963190186</v>
      </c>
      <c r="S404" s="2">
        <f t="shared" si="33"/>
        <v>1.503509742738419</v>
      </c>
      <c r="T404" s="18" t="str">
        <f t="shared" si="34"/>
        <v>🟡 Mid</v>
      </c>
    </row>
    <row r="405" spans="1:20" x14ac:dyDescent="0.3">
      <c r="A405" s="17">
        <v>404</v>
      </c>
      <c r="B405" s="3" t="s">
        <v>77</v>
      </c>
      <c r="C405" s="3" t="s">
        <v>40</v>
      </c>
      <c r="D405" s="3" t="s">
        <v>29</v>
      </c>
      <c r="E405" s="3" t="s">
        <v>23</v>
      </c>
      <c r="F405" s="3" t="s">
        <v>47</v>
      </c>
      <c r="G405" s="3" t="s">
        <v>57</v>
      </c>
      <c r="H405" s="3" t="s">
        <v>44</v>
      </c>
      <c r="I405" s="3" t="s">
        <v>45</v>
      </c>
      <c r="J405" s="6">
        <v>2024</v>
      </c>
      <c r="K405" s="3">
        <v>14806.33</v>
      </c>
      <c r="L405" s="3">
        <v>24629</v>
      </c>
      <c r="M405" s="3">
        <v>313</v>
      </c>
      <c r="N405" s="3">
        <v>8</v>
      </c>
      <c r="O405" s="3">
        <v>11147.86</v>
      </c>
      <c r="P405" s="9">
        <f t="shared" si="30"/>
        <v>1.2708595558081937</v>
      </c>
      <c r="Q405" s="11">
        <f t="shared" si="31"/>
        <v>35.616166134185306</v>
      </c>
      <c r="R405" s="13">
        <f t="shared" si="32"/>
        <v>1393.4825000000001</v>
      </c>
      <c r="S405" s="4">
        <f t="shared" si="33"/>
        <v>1.3281768877614177</v>
      </c>
      <c r="T405" s="19" t="str">
        <f t="shared" si="34"/>
        <v>🔴 Low</v>
      </c>
    </row>
    <row r="406" spans="1:20" x14ac:dyDescent="0.3">
      <c r="A406" s="16">
        <v>405</v>
      </c>
      <c r="B406" s="1" t="s">
        <v>64</v>
      </c>
      <c r="C406" s="1" t="s">
        <v>21</v>
      </c>
      <c r="D406" s="1" t="s">
        <v>13</v>
      </c>
      <c r="E406" s="1" t="s">
        <v>42</v>
      </c>
      <c r="F406" s="1" t="s">
        <v>31</v>
      </c>
      <c r="G406" s="1" t="s">
        <v>32</v>
      </c>
      <c r="H406" s="1" t="s">
        <v>33</v>
      </c>
      <c r="I406" s="1" t="s">
        <v>34</v>
      </c>
      <c r="J406" s="5">
        <v>2023</v>
      </c>
      <c r="K406" s="1">
        <v>10719.36</v>
      </c>
      <c r="L406" s="1">
        <v>526718</v>
      </c>
      <c r="M406" s="1">
        <v>3837</v>
      </c>
      <c r="N406" s="1">
        <v>267</v>
      </c>
      <c r="O406" s="1">
        <v>8276.61</v>
      </c>
      <c r="P406" s="8">
        <f t="shared" si="30"/>
        <v>0.72847330070360228</v>
      </c>
      <c r="Q406" s="10">
        <f t="shared" si="31"/>
        <v>2.1570523846755281</v>
      </c>
      <c r="R406" s="12">
        <f t="shared" si="32"/>
        <v>30.9985393258427</v>
      </c>
      <c r="S406" s="2">
        <f t="shared" si="33"/>
        <v>1.2951389518172296</v>
      </c>
      <c r="T406" s="18" t="str">
        <f t="shared" si="34"/>
        <v>🔴 Low</v>
      </c>
    </row>
    <row r="407" spans="1:20" x14ac:dyDescent="0.3">
      <c r="A407" s="17">
        <v>406</v>
      </c>
      <c r="B407" s="3" t="s">
        <v>85</v>
      </c>
      <c r="C407" s="3" t="s">
        <v>40</v>
      </c>
      <c r="D407" s="3" t="s">
        <v>22</v>
      </c>
      <c r="E407" s="3" t="s">
        <v>61</v>
      </c>
      <c r="F407" s="3" t="s">
        <v>31</v>
      </c>
      <c r="G407" s="3" t="s">
        <v>57</v>
      </c>
      <c r="H407" s="3" t="s">
        <v>68</v>
      </c>
      <c r="I407" s="3" t="s">
        <v>27</v>
      </c>
      <c r="J407" s="6">
        <v>2023</v>
      </c>
      <c r="K407" s="3">
        <v>3983.46</v>
      </c>
      <c r="L407" s="3">
        <v>37792</v>
      </c>
      <c r="M407" s="3">
        <v>495</v>
      </c>
      <c r="N407" s="3">
        <v>3</v>
      </c>
      <c r="O407" s="3">
        <v>3202.13</v>
      </c>
      <c r="P407" s="9">
        <f t="shared" si="30"/>
        <v>1.3098010160880609</v>
      </c>
      <c r="Q407" s="11">
        <f t="shared" si="31"/>
        <v>6.468949494949495</v>
      </c>
      <c r="R407" s="13">
        <f t="shared" si="32"/>
        <v>1067.3766666666668</v>
      </c>
      <c r="S407" s="4">
        <f t="shared" si="33"/>
        <v>1.244003210363102</v>
      </c>
      <c r="T407" s="19" t="str">
        <f t="shared" si="34"/>
        <v>🔴 Low</v>
      </c>
    </row>
    <row r="408" spans="1:20" x14ac:dyDescent="0.3">
      <c r="A408" s="16">
        <v>407</v>
      </c>
      <c r="B408" s="1" t="s">
        <v>91</v>
      </c>
      <c r="C408" s="1" t="s">
        <v>36</v>
      </c>
      <c r="D408" s="1" t="s">
        <v>29</v>
      </c>
      <c r="E408" s="1" t="s">
        <v>56</v>
      </c>
      <c r="F408" s="1" t="s">
        <v>31</v>
      </c>
      <c r="G408" s="1" t="s">
        <v>50</v>
      </c>
      <c r="H408" s="1" t="s">
        <v>81</v>
      </c>
      <c r="I408" s="1" t="s">
        <v>34</v>
      </c>
      <c r="J408" s="5">
        <v>2024</v>
      </c>
      <c r="K408" s="1">
        <v>1457.17</v>
      </c>
      <c r="L408" s="1">
        <v>236444</v>
      </c>
      <c r="M408" s="1">
        <v>6263</v>
      </c>
      <c r="N408" s="1">
        <v>237</v>
      </c>
      <c r="O408" s="1">
        <v>1002.05</v>
      </c>
      <c r="P408" s="8">
        <f t="shared" si="30"/>
        <v>2.648830166973998</v>
      </c>
      <c r="Q408" s="10">
        <f t="shared" si="31"/>
        <v>0.15999520996327637</v>
      </c>
      <c r="R408" s="12">
        <f t="shared" si="32"/>
        <v>4.228059071729958</v>
      </c>
      <c r="S408" s="2">
        <f t="shared" si="33"/>
        <v>1.4541889127289058</v>
      </c>
      <c r="T408" s="18" t="str">
        <f t="shared" si="34"/>
        <v>🟡 Mid</v>
      </c>
    </row>
    <row r="409" spans="1:20" x14ac:dyDescent="0.3">
      <c r="A409" s="17">
        <v>408</v>
      </c>
      <c r="B409" s="3" t="s">
        <v>39</v>
      </c>
      <c r="C409" s="3" t="s">
        <v>40</v>
      </c>
      <c r="D409" s="3" t="s">
        <v>41</v>
      </c>
      <c r="E409" s="3" t="s">
        <v>42</v>
      </c>
      <c r="F409" s="3" t="s">
        <v>47</v>
      </c>
      <c r="G409" s="3" t="s">
        <v>32</v>
      </c>
      <c r="H409" s="3" t="s">
        <v>54</v>
      </c>
      <c r="I409" s="3" t="s">
        <v>45</v>
      </c>
      <c r="J409" s="6">
        <v>2024</v>
      </c>
      <c r="K409" s="3">
        <v>16529.52</v>
      </c>
      <c r="L409" s="3">
        <v>747846</v>
      </c>
      <c r="M409" s="3">
        <v>11080</v>
      </c>
      <c r="N409" s="3">
        <v>716</v>
      </c>
      <c r="O409" s="3">
        <v>14200.71</v>
      </c>
      <c r="P409" s="9">
        <f t="shared" si="30"/>
        <v>1.4815884553771765</v>
      </c>
      <c r="Q409" s="11">
        <f t="shared" si="31"/>
        <v>1.2816525270758121</v>
      </c>
      <c r="R409" s="13">
        <f t="shared" si="32"/>
        <v>19.833393854748604</v>
      </c>
      <c r="S409" s="4">
        <f t="shared" si="33"/>
        <v>1.1639925046001223</v>
      </c>
      <c r="T409" s="19" t="str">
        <f t="shared" si="34"/>
        <v>🔴 Low</v>
      </c>
    </row>
    <row r="410" spans="1:20" x14ac:dyDescent="0.3">
      <c r="A410" s="16">
        <v>409</v>
      </c>
      <c r="B410" s="1" t="s">
        <v>28</v>
      </c>
      <c r="C410" s="1" t="s">
        <v>21</v>
      </c>
      <c r="D410" s="1" t="s">
        <v>22</v>
      </c>
      <c r="E410" s="1" t="s">
        <v>23</v>
      </c>
      <c r="F410" s="1" t="s">
        <v>24</v>
      </c>
      <c r="G410" s="1" t="s">
        <v>25</v>
      </c>
      <c r="H410" s="1" t="s">
        <v>81</v>
      </c>
      <c r="I410" s="1" t="s">
        <v>34</v>
      </c>
      <c r="J410" s="5">
        <v>2023</v>
      </c>
      <c r="K410" s="1">
        <v>2473.89</v>
      </c>
      <c r="L410" s="1">
        <v>247239</v>
      </c>
      <c r="M410" s="1">
        <v>945</v>
      </c>
      <c r="N410" s="1">
        <v>12</v>
      </c>
      <c r="O410" s="1">
        <v>1742.81</v>
      </c>
      <c r="P410" s="8">
        <f t="shared" si="30"/>
        <v>0.38222125150158348</v>
      </c>
      <c r="Q410" s="10">
        <f t="shared" si="31"/>
        <v>1.8442433862433862</v>
      </c>
      <c r="R410" s="12">
        <f t="shared" si="32"/>
        <v>145.23416666666665</v>
      </c>
      <c r="S410" s="2">
        <f t="shared" si="33"/>
        <v>1.4194834778317773</v>
      </c>
      <c r="T410" s="18" t="str">
        <f t="shared" si="34"/>
        <v>🔴 Low</v>
      </c>
    </row>
    <row r="411" spans="1:20" x14ac:dyDescent="0.3">
      <c r="A411" s="17">
        <v>410</v>
      </c>
      <c r="B411" s="3" t="s">
        <v>49</v>
      </c>
      <c r="C411" s="3" t="s">
        <v>21</v>
      </c>
      <c r="D411" s="3" t="s">
        <v>29</v>
      </c>
      <c r="E411" s="3" t="s">
        <v>61</v>
      </c>
      <c r="F411" s="3" t="s">
        <v>47</v>
      </c>
      <c r="G411" s="3" t="s">
        <v>57</v>
      </c>
      <c r="H411" s="3" t="s">
        <v>44</v>
      </c>
      <c r="I411" s="3" t="s">
        <v>45</v>
      </c>
      <c r="J411" s="6">
        <v>2024</v>
      </c>
      <c r="K411" s="3">
        <v>13652.6</v>
      </c>
      <c r="L411" s="3">
        <v>741677</v>
      </c>
      <c r="M411" s="3">
        <v>4716</v>
      </c>
      <c r="N411" s="3">
        <v>141</v>
      </c>
      <c r="O411" s="3">
        <v>13253.75</v>
      </c>
      <c r="P411" s="9">
        <f t="shared" si="30"/>
        <v>0.63585630941771154</v>
      </c>
      <c r="Q411" s="11">
        <f t="shared" si="31"/>
        <v>2.8103795589482612</v>
      </c>
      <c r="R411" s="13">
        <f t="shared" si="32"/>
        <v>93.998226950354606</v>
      </c>
      <c r="S411" s="4">
        <f t="shared" si="33"/>
        <v>1.0300933698009997</v>
      </c>
      <c r="T411" s="19" t="str">
        <f t="shared" si="34"/>
        <v>🔴 Low</v>
      </c>
    </row>
    <row r="412" spans="1:20" x14ac:dyDescent="0.3">
      <c r="A412" s="16">
        <v>411</v>
      </c>
      <c r="B412" s="1" t="s">
        <v>55</v>
      </c>
      <c r="C412" s="1" t="s">
        <v>36</v>
      </c>
      <c r="D412" s="1" t="s">
        <v>29</v>
      </c>
      <c r="E412" s="1" t="s">
        <v>56</v>
      </c>
      <c r="F412" s="1" t="s">
        <v>31</v>
      </c>
      <c r="G412" s="1" t="s">
        <v>43</v>
      </c>
      <c r="H412" s="1" t="s">
        <v>44</v>
      </c>
      <c r="I412" s="1" t="s">
        <v>45</v>
      </c>
      <c r="J412" s="5">
        <v>2023</v>
      </c>
      <c r="K412" s="1">
        <v>10911.06</v>
      </c>
      <c r="L412" s="1">
        <v>634057</v>
      </c>
      <c r="M412" s="1">
        <v>14986</v>
      </c>
      <c r="N412" s="1">
        <v>291</v>
      </c>
      <c r="O412" s="1">
        <v>11090.16</v>
      </c>
      <c r="P412" s="8">
        <f t="shared" si="30"/>
        <v>2.3635099052608832</v>
      </c>
      <c r="Q412" s="10">
        <f t="shared" si="31"/>
        <v>0.7400346990524489</v>
      </c>
      <c r="R412" s="12">
        <f t="shared" si="32"/>
        <v>38.110515463917523</v>
      </c>
      <c r="S412" s="2">
        <f t="shared" si="33"/>
        <v>0.98385054859442966</v>
      </c>
      <c r="T412" s="18" t="str">
        <f t="shared" si="34"/>
        <v>🟡 Mid</v>
      </c>
    </row>
    <row r="413" spans="1:20" x14ac:dyDescent="0.3">
      <c r="A413" s="17">
        <v>412</v>
      </c>
      <c r="B413" s="3" t="s">
        <v>100</v>
      </c>
      <c r="C413" s="3" t="s">
        <v>40</v>
      </c>
      <c r="D413" s="3" t="s">
        <v>41</v>
      </c>
      <c r="E413" s="3" t="s">
        <v>56</v>
      </c>
      <c r="F413" s="3" t="s">
        <v>31</v>
      </c>
      <c r="G413" s="3" t="s">
        <v>43</v>
      </c>
      <c r="H413" s="3" t="s">
        <v>79</v>
      </c>
      <c r="I413" s="3" t="s">
        <v>45</v>
      </c>
      <c r="J413" s="6">
        <v>2023</v>
      </c>
      <c r="K413" s="3">
        <v>11481.32</v>
      </c>
      <c r="L413" s="3">
        <v>229319</v>
      </c>
      <c r="M413" s="3">
        <v>4043</v>
      </c>
      <c r="N413" s="3">
        <v>363</v>
      </c>
      <c r="O413" s="3">
        <v>9542.1299999999992</v>
      </c>
      <c r="P413" s="9">
        <f t="shared" si="30"/>
        <v>1.7630462369014344</v>
      </c>
      <c r="Q413" s="11">
        <f t="shared" si="31"/>
        <v>2.3601607717041797</v>
      </c>
      <c r="R413" s="13">
        <f t="shared" si="32"/>
        <v>26.286859504132231</v>
      </c>
      <c r="S413" s="4">
        <f t="shared" si="33"/>
        <v>1.2032240181175482</v>
      </c>
      <c r="T413" s="19" t="str">
        <f t="shared" si="34"/>
        <v>🟡 Mid</v>
      </c>
    </row>
    <row r="414" spans="1:20" x14ac:dyDescent="0.3">
      <c r="A414" s="16">
        <v>413</v>
      </c>
      <c r="B414" s="1" t="s">
        <v>73</v>
      </c>
      <c r="C414" s="1" t="s">
        <v>21</v>
      </c>
      <c r="D414" s="1" t="s">
        <v>13</v>
      </c>
      <c r="E414" s="1" t="s">
        <v>56</v>
      </c>
      <c r="F414" s="1" t="s">
        <v>47</v>
      </c>
      <c r="G414" s="1" t="s">
        <v>50</v>
      </c>
      <c r="H414" s="1" t="s">
        <v>68</v>
      </c>
      <c r="I414" s="1" t="s">
        <v>27</v>
      </c>
      <c r="J414" s="5">
        <v>2023</v>
      </c>
      <c r="K414" s="1">
        <v>19667.650000000001</v>
      </c>
      <c r="L414" s="1">
        <v>629702</v>
      </c>
      <c r="M414" s="1">
        <v>6095</v>
      </c>
      <c r="N414" s="1">
        <v>684</v>
      </c>
      <c r="O414" s="1">
        <v>11854.85</v>
      </c>
      <c r="P414" s="8">
        <f t="shared" si="30"/>
        <v>0.96791815811288517</v>
      </c>
      <c r="Q414" s="10">
        <f t="shared" si="31"/>
        <v>1.9450123051681707</v>
      </c>
      <c r="R414" s="12">
        <f t="shared" si="32"/>
        <v>17.331652046783628</v>
      </c>
      <c r="S414" s="2">
        <f t="shared" si="33"/>
        <v>1.6590382839091173</v>
      </c>
      <c r="T414" s="18" t="str">
        <f t="shared" si="34"/>
        <v>🔴 Low</v>
      </c>
    </row>
    <row r="415" spans="1:20" x14ac:dyDescent="0.3">
      <c r="A415" s="17">
        <v>414</v>
      </c>
      <c r="B415" s="3" t="s">
        <v>93</v>
      </c>
      <c r="C415" s="3" t="s">
        <v>36</v>
      </c>
      <c r="D415" s="3" t="s">
        <v>13</v>
      </c>
      <c r="E415" s="3" t="s">
        <v>42</v>
      </c>
      <c r="F415" s="3" t="s">
        <v>31</v>
      </c>
      <c r="G415" s="3" t="s">
        <v>43</v>
      </c>
      <c r="H415" s="3" t="s">
        <v>81</v>
      </c>
      <c r="I415" s="3" t="s">
        <v>34</v>
      </c>
      <c r="J415" s="6">
        <v>2023</v>
      </c>
      <c r="K415" s="3">
        <v>2338.6</v>
      </c>
      <c r="L415" s="3">
        <v>487732</v>
      </c>
      <c r="M415" s="3">
        <v>13790</v>
      </c>
      <c r="N415" s="3">
        <v>1032</v>
      </c>
      <c r="O415" s="3">
        <v>1539.11</v>
      </c>
      <c r="P415" s="9">
        <f t="shared" si="30"/>
        <v>2.8273724094379702</v>
      </c>
      <c r="Q415" s="11">
        <f t="shared" si="31"/>
        <v>0.11161058738216098</v>
      </c>
      <c r="R415" s="13">
        <f t="shared" si="32"/>
        <v>1.4913856589147285</v>
      </c>
      <c r="S415" s="4">
        <f t="shared" si="33"/>
        <v>1.5194495520138263</v>
      </c>
      <c r="T415" s="19" t="str">
        <f t="shared" si="34"/>
        <v>🟡 Mid</v>
      </c>
    </row>
    <row r="416" spans="1:20" x14ac:dyDescent="0.3">
      <c r="A416" s="16">
        <v>415</v>
      </c>
      <c r="B416" s="1" t="s">
        <v>87</v>
      </c>
      <c r="C416" s="1" t="s">
        <v>40</v>
      </c>
      <c r="D416" s="1" t="s">
        <v>46</v>
      </c>
      <c r="E416" s="1" t="s">
        <v>23</v>
      </c>
      <c r="F416" s="1" t="s">
        <v>47</v>
      </c>
      <c r="G416" s="1" t="s">
        <v>57</v>
      </c>
      <c r="H416" s="1" t="s">
        <v>79</v>
      </c>
      <c r="I416" s="1" t="s">
        <v>45</v>
      </c>
      <c r="J416" s="5">
        <v>2024</v>
      </c>
      <c r="K416" s="1">
        <v>11596.77</v>
      </c>
      <c r="L416" s="1">
        <v>232999</v>
      </c>
      <c r="M416" s="1">
        <v>3543</v>
      </c>
      <c r="N416" s="1">
        <v>310</v>
      </c>
      <c r="O416" s="1">
        <v>7800.21</v>
      </c>
      <c r="P416" s="8">
        <f t="shared" si="30"/>
        <v>1.5206073845810497</v>
      </c>
      <c r="Q416" s="10">
        <f t="shared" si="31"/>
        <v>2.2015834038950044</v>
      </c>
      <c r="R416" s="12">
        <f t="shared" si="32"/>
        <v>25.161967741935484</v>
      </c>
      <c r="S416" s="2">
        <f t="shared" si="33"/>
        <v>1.4867253573942241</v>
      </c>
      <c r="T416" s="18" t="str">
        <f t="shared" si="34"/>
        <v>🟡 Mid</v>
      </c>
    </row>
    <row r="417" spans="1:20" x14ac:dyDescent="0.3">
      <c r="A417" s="17">
        <v>416</v>
      </c>
      <c r="B417" s="3" t="s">
        <v>20</v>
      </c>
      <c r="C417" s="3" t="s">
        <v>21</v>
      </c>
      <c r="D417" s="3" t="s">
        <v>29</v>
      </c>
      <c r="E417" s="3" t="s">
        <v>23</v>
      </c>
      <c r="F417" s="3" t="s">
        <v>24</v>
      </c>
      <c r="G417" s="3" t="s">
        <v>32</v>
      </c>
      <c r="H417" s="3" t="s">
        <v>33</v>
      </c>
      <c r="I417" s="3" t="s">
        <v>34</v>
      </c>
      <c r="J417" s="6">
        <v>2023</v>
      </c>
      <c r="K417" s="3">
        <v>15712.38</v>
      </c>
      <c r="L417" s="3">
        <v>355632</v>
      </c>
      <c r="M417" s="3">
        <v>177</v>
      </c>
      <c r="N417" s="3">
        <v>3</v>
      </c>
      <c r="O417" s="3">
        <v>14819.91</v>
      </c>
      <c r="P417" s="9">
        <f t="shared" si="30"/>
        <v>4.9770549331893649E-2</v>
      </c>
      <c r="Q417" s="11">
        <f t="shared" si="31"/>
        <v>83.728305084745756</v>
      </c>
      <c r="R417" s="13">
        <f t="shared" si="32"/>
        <v>4939.97</v>
      </c>
      <c r="S417" s="4">
        <f t="shared" si="33"/>
        <v>1.0602210134879362</v>
      </c>
      <c r="T417" s="19" t="str">
        <f t="shared" si="34"/>
        <v>🔴 Low</v>
      </c>
    </row>
    <row r="418" spans="1:20" x14ac:dyDescent="0.3">
      <c r="A418" s="16">
        <v>417</v>
      </c>
      <c r="B418" s="1" t="s">
        <v>39</v>
      </c>
      <c r="C418" s="1" t="s">
        <v>40</v>
      </c>
      <c r="D418" s="1" t="s">
        <v>46</v>
      </c>
      <c r="E418" s="1" t="s">
        <v>61</v>
      </c>
      <c r="F418" s="1" t="s">
        <v>24</v>
      </c>
      <c r="G418" s="1" t="s">
        <v>50</v>
      </c>
      <c r="H418" s="1" t="s">
        <v>68</v>
      </c>
      <c r="I418" s="1" t="s">
        <v>27</v>
      </c>
      <c r="J418" s="5">
        <v>2024</v>
      </c>
      <c r="K418" s="1">
        <v>10725.48</v>
      </c>
      <c r="L418" s="1">
        <v>339827</v>
      </c>
      <c r="M418" s="1">
        <v>4500</v>
      </c>
      <c r="N418" s="1">
        <v>315</v>
      </c>
      <c r="O418" s="1">
        <v>7429.91</v>
      </c>
      <c r="P418" s="8">
        <f t="shared" si="30"/>
        <v>1.3242031975093209</v>
      </c>
      <c r="Q418" s="10">
        <f t="shared" si="31"/>
        <v>1.6510911111111111</v>
      </c>
      <c r="R418" s="12">
        <f t="shared" si="32"/>
        <v>23.587015873015872</v>
      </c>
      <c r="S418" s="2">
        <f t="shared" si="33"/>
        <v>1.4435544979683468</v>
      </c>
      <c r="T418" s="18" t="str">
        <f t="shared" si="34"/>
        <v>🔴 Low</v>
      </c>
    </row>
    <row r="419" spans="1:20" x14ac:dyDescent="0.3">
      <c r="A419" s="17">
        <v>418</v>
      </c>
      <c r="B419" s="3" t="s">
        <v>35</v>
      </c>
      <c r="C419" s="3" t="s">
        <v>36</v>
      </c>
      <c r="D419" s="3" t="s">
        <v>41</v>
      </c>
      <c r="E419" s="3" t="s">
        <v>61</v>
      </c>
      <c r="F419" s="3" t="s">
        <v>31</v>
      </c>
      <c r="G419" s="3" t="s">
        <v>32</v>
      </c>
      <c r="H419" s="3" t="s">
        <v>58</v>
      </c>
      <c r="I419" s="3" t="s">
        <v>27</v>
      </c>
      <c r="J419" s="6">
        <v>2023</v>
      </c>
      <c r="K419" s="3">
        <v>8922.75</v>
      </c>
      <c r="L419" s="3">
        <v>418477</v>
      </c>
      <c r="M419" s="3">
        <v>11421</v>
      </c>
      <c r="N419" s="3">
        <v>820</v>
      </c>
      <c r="O419" s="3">
        <v>6613.46</v>
      </c>
      <c r="P419" s="9">
        <f t="shared" si="30"/>
        <v>2.7291822489646984</v>
      </c>
      <c r="Q419" s="11">
        <f t="shared" si="31"/>
        <v>0.57906137816303305</v>
      </c>
      <c r="R419" s="13">
        <f t="shared" si="32"/>
        <v>8.0651951219512199</v>
      </c>
      <c r="S419" s="4">
        <f t="shared" si="33"/>
        <v>1.349180308038455</v>
      </c>
      <c r="T419" s="19" t="str">
        <f t="shared" si="34"/>
        <v>🟡 Mid</v>
      </c>
    </row>
    <row r="420" spans="1:20" x14ac:dyDescent="0.3">
      <c r="A420" s="16">
        <v>419</v>
      </c>
      <c r="B420" s="1" t="s">
        <v>60</v>
      </c>
      <c r="C420" s="1" t="s">
        <v>40</v>
      </c>
      <c r="D420" s="1" t="s">
        <v>29</v>
      </c>
      <c r="E420" s="1" t="s">
        <v>56</v>
      </c>
      <c r="F420" s="1" t="s">
        <v>47</v>
      </c>
      <c r="G420" s="1" t="s">
        <v>57</v>
      </c>
      <c r="H420" s="1" t="s">
        <v>33</v>
      </c>
      <c r="I420" s="1" t="s">
        <v>34</v>
      </c>
      <c r="J420" s="5">
        <v>2024</v>
      </c>
      <c r="K420" s="1">
        <v>15589.59</v>
      </c>
      <c r="L420" s="1">
        <v>141708</v>
      </c>
      <c r="M420" s="1">
        <v>2328</v>
      </c>
      <c r="N420" s="1">
        <v>37</v>
      </c>
      <c r="O420" s="1">
        <v>11942.15</v>
      </c>
      <c r="P420" s="8">
        <f t="shared" si="30"/>
        <v>1.6428148022694555</v>
      </c>
      <c r="Q420" s="10">
        <f t="shared" si="31"/>
        <v>5.1297895189003437</v>
      </c>
      <c r="R420" s="12">
        <f t="shared" si="32"/>
        <v>322.76081081081082</v>
      </c>
      <c r="S420" s="2">
        <f t="shared" si="33"/>
        <v>1.3054257399212035</v>
      </c>
      <c r="T420" s="18" t="str">
        <f t="shared" si="34"/>
        <v>🟡 Mid</v>
      </c>
    </row>
    <row r="421" spans="1:20" x14ac:dyDescent="0.3">
      <c r="A421" s="17">
        <v>420</v>
      </c>
      <c r="B421" s="3" t="s">
        <v>64</v>
      </c>
      <c r="C421" s="3" t="s">
        <v>21</v>
      </c>
      <c r="D421" s="3" t="s">
        <v>29</v>
      </c>
      <c r="E421" s="3" t="s">
        <v>61</v>
      </c>
      <c r="F421" s="3" t="s">
        <v>31</v>
      </c>
      <c r="G421" s="3" t="s">
        <v>32</v>
      </c>
      <c r="H421" s="3" t="s">
        <v>83</v>
      </c>
      <c r="I421" s="3" t="s">
        <v>38</v>
      </c>
      <c r="J421" s="6">
        <v>2023</v>
      </c>
      <c r="K421" s="3">
        <v>1897.06</v>
      </c>
      <c r="L421" s="3">
        <v>455956</v>
      </c>
      <c r="M421" s="3">
        <v>588</v>
      </c>
      <c r="N421" s="3">
        <v>11</v>
      </c>
      <c r="O421" s="3">
        <v>1874.56</v>
      </c>
      <c r="P421" s="9">
        <f t="shared" si="30"/>
        <v>0.12895981191167569</v>
      </c>
      <c r="Q421" s="11">
        <f t="shared" si="31"/>
        <v>3.1880272108843535</v>
      </c>
      <c r="R421" s="13">
        <f t="shared" si="32"/>
        <v>170.41454545454545</v>
      </c>
      <c r="S421" s="4">
        <f t="shared" si="33"/>
        <v>1.0120028166609765</v>
      </c>
      <c r="T421" s="19" t="str">
        <f t="shared" si="34"/>
        <v>🔴 Low</v>
      </c>
    </row>
    <row r="422" spans="1:20" x14ac:dyDescent="0.3">
      <c r="A422" s="16">
        <v>421</v>
      </c>
      <c r="B422" s="1" t="s">
        <v>70</v>
      </c>
      <c r="C422" s="1" t="s">
        <v>36</v>
      </c>
      <c r="D422" s="1" t="s">
        <v>41</v>
      </c>
      <c r="E422" s="1" t="s">
        <v>56</v>
      </c>
      <c r="F422" s="1" t="s">
        <v>47</v>
      </c>
      <c r="G422" s="1" t="s">
        <v>43</v>
      </c>
      <c r="H422" s="1" t="s">
        <v>83</v>
      </c>
      <c r="I422" s="1" t="s">
        <v>38</v>
      </c>
      <c r="J422" s="5">
        <v>2024</v>
      </c>
      <c r="K422" s="1">
        <v>7218.24</v>
      </c>
      <c r="L422" s="1">
        <v>692247</v>
      </c>
      <c r="M422" s="1">
        <v>22300</v>
      </c>
      <c r="N422" s="1">
        <v>3099</v>
      </c>
      <c r="O422" s="1">
        <v>6199.12</v>
      </c>
      <c r="P422" s="8">
        <f t="shared" si="30"/>
        <v>3.2213935199430264</v>
      </c>
      <c r="Q422" s="10">
        <f t="shared" si="31"/>
        <v>0.27798744394618835</v>
      </c>
      <c r="R422" s="12">
        <f t="shared" si="32"/>
        <v>2.0003614069054532</v>
      </c>
      <c r="S422" s="2">
        <f t="shared" si="33"/>
        <v>1.1643975273909846</v>
      </c>
      <c r="T422" s="18" t="str">
        <f t="shared" si="34"/>
        <v>🟢 High</v>
      </c>
    </row>
    <row r="423" spans="1:20" x14ac:dyDescent="0.3">
      <c r="A423" s="17">
        <v>422</v>
      </c>
      <c r="B423" s="3" t="s">
        <v>92</v>
      </c>
      <c r="C423" s="3" t="s">
        <v>40</v>
      </c>
      <c r="D423" s="3" t="s">
        <v>41</v>
      </c>
      <c r="E423" s="3" t="s">
        <v>42</v>
      </c>
      <c r="F423" s="3" t="s">
        <v>24</v>
      </c>
      <c r="G423" s="3" t="s">
        <v>25</v>
      </c>
      <c r="H423" s="3" t="s">
        <v>44</v>
      </c>
      <c r="I423" s="3" t="s">
        <v>45</v>
      </c>
      <c r="J423" s="6">
        <v>2024</v>
      </c>
      <c r="K423" s="3">
        <v>3541.83</v>
      </c>
      <c r="L423" s="3">
        <v>768873</v>
      </c>
      <c r="M423" s="3">
        <v>12798</v>
      </c>
      <c r="N423" s="3">
        <v>1640</v>
      </c>
      <c r="O423" s="3">
        <v>2292.2600000000002</v>
      </c>
      <c r="P423" s="9">
        <f t="shared" si="30"/>
        <v>1.6645141655383919</v>
      </c>
      <c r="Q423" s="11">
        <f t="shared" si="31"/>
        <v>0.17911079856227538</v>
      </c>
      <c r="R423" s="13">
        <f t="shared" si="32"/>
        <v>1.397719512195122</v>
      </c>
      <c r="S423" s="4">
        <f t="shared" si="33"/>
        <v>1.5451257710730892</v>
      </c>
      <c r="T423" s="19" t="str">
        <f t="shared" si="34"/>
        <v>🟡 Mid</v>
      </c>
    </row>
    <row r="424" spans="1:20" x14ac:dyDescent="0.3">
      <c r="A424" s="16">
        <v>423</v>
      </c>
      <c r="B424" s="1" t="s">
        <v>93</v>
      </c>
      <c r="C424" s="1" t="s">
        <v>36</v>
      </c>
      <c r="D424" s="1" t="s">
        <v>29</v>
      </c>
      <c r="E424" s="1" t="s">
        <v>30</v>
      </c>
      <c r="F424" s="1" t="s">
        <v>47</v>
      </c>
      <c r="G424" s="1" t="s">
        <v>57</v>
      </c>
      <c r="H424" s="1" t="s">
        <v>37</v>
      </c>
      <c r="I424" s="1" t="s">
        <v>38</v>
      </c>
      <c r="J424" s="5">
        <v>2023</v>
      </c>
      <c r="K424" s="1">
        <v>6449.8</v>
      </c>
      <c r="L424" s="1">
        <v>499078</v>
      </c>
      <c r="M424" s="1">
        <v>15665</v>
      </c>
      <c r="N424" s="1">
        <v>409</v>
      </c>
      <c r="O424" s="1">
        <v>4421.96</v>
      </c>
      <c r="P424" s="8">
        <f t="shared" si="30"/>
        <v>3.1387879249335775</v>
      </c>
      <c r="Q424" s="10">
        <f t="shared" si="31"/>
        <v>0.28228279604213213</v>
      </c>
      <c r="R424" s="12">
        <f t="shared" si="32"/>
        <v>10.811638141809292</v>
      </c>
      <c r="S424" s="2">
        <f t="shared" si="33"/>
        <v>1.4585839763362853</v>
      </c>
      <c r="T424" s="18" t="str">
        <f t="shared" si="34"/>
        <v>🟢 High</v>
      </c>
    </row>
    <row r="425" spans="1:20" x14ac:dyDescent="0.3">
      <c r="A425" s="17">
        <v>424</v>
      </c>
      <c r="B425" s="3" t="s">
        <v>73</v>
      </c>
      <c r="C425" s="3" t="s">
        <v>21</v>
      </c>
      <c r="D425" s="3" t="s">
        <v>29</v>
      </c>
      <c r="E425" s="3" t="s">
        <v>56</v>
      </c>
      <c r="F425" s="3" t="s">
        <v>31</v>
      </c>
      <c r="G425" s="3" t="s">
        <v>25</v>
      </c>
      <c r="H425" s="3" t="s">
        <v>54</v>
      </c>
      <c r="I425" s="3" t="s">
        <v>45</v>
      </c>
      <c r="J425" s="6">
        <v>2023</v>
      </c>
      <c r="K425" s="3">
        <v>7843.83</v>
      </c>
      <c r="L425" s="3">
        <v>700759</v>
      </c>
      <c r="M425" s="3">
        <v>5247</v>
      </c>
      <c r="N425" s="3">
        <v>135</v>
      </c>
      <c r="O425" s="3">
        <v>5547.88</v>
      </c>
      <c r="P425" s="9">
        <f t="shared" si="30"/>
        <v>0.74875955927786864</v>
      </c>
      <c r="Q425" s="11">
        <f t="shared" si="31"/>
        <v>1.0573432437583381</v>
      </c>
      <c r="R425" s="13">
        <f t="shared" si="32"/>
        <v>41.095407407407407</v>
      </c>
      <c r="S425" s="4">
        <f t="shared" si="33"/>
        <v>1.413842765164351</v>
      </c>
      <c r="T425" s="19" t="str">
        <f t="shared" si="34"/>
        <v>🔴 Low</v>
      </c>
    </row>
    <row r="426" spans="1:20" x14ac:dyDescent="0.3">
      <c r="A426" s="16">
        <v>425</v>
      </c>
      <c r="B426" s="1" t="s">
        <v>71</v>
      </c>
      <c r="C426" s="1" t="s">
        <v>36</v>
      </c>
      <c r="D426" s="1" t="s">
        <v>46</v>
      </c>
      <c r="E426" s="1" t="s">
        <v>61</v>
      </c>
      <c r="F426" s="1" t="s">
        <v>47</v>
      </c>
      <c r="G426" s="1" t="s">
        <v>57</v>
      </c>
      <c r="H426" s="1" t="s">
        <v>48</v>
      </c>
      <c r="I426" s="1" t="s">
        <v>34</v>
      </c>
      <c r="J426" s="5">
        <v>2023</v>
      </c>
      <c r="K426" s="1">
        <v>1798.66</v>
      </c>
      <c r="L426" s="1">
        <v>697451</v>
      </c>
      <c r="M426" s="1">
        <v>18618</v>
      </c>
      <c r="N426" s="1">
        <v>1482</v>
      </c>
      <c r="O426" s="1">
        <v>1732.11</v>
      </c>
      <c r="P426" s="8">
        <f t="shared" si="30"/>
        <v>2.6694348420175755</v>
      </c>
      <c r="Q426" s="10">
        <f t="shared" si="31"/>
        <v>9.3034160489848527E-2</v>
      </c>
      <c r="R426" s="12">
        <f t="shared" si="32"/>
        <v>1.1687651821862348</v>
      </c>
      <c r="S426" s="2">
        <f t="shared" si="33"/>
        <v>1.0384213473740123</v>
      </c>
      <c r="T426" s="18" t="str">
        <f t="shared" si="34"/>
        <v>🟡 Mid</v>
      </c>
    </row>
    <row r="427" spans="1:20" x14ac:dyDescent="0.3">
      <c r="A427" s="17">
        <v>426</v>
      </c>
      <c r="B427" s="3" t="s">
        <v>71</v>
      </c>
      <c r="C427" s="3" t="s">
        <v>36</v>
      </c>
      <c r="D427" s="3" t="s">
        <v>41</v>
      </c>
      <c r="E427" s="3" t="s">
        <v>30</v>
      </c>
      <c r="F427" s="3" t="s">
        <v>47</v>
      </c>
      <c r="G427" s="3" t="s">
        <v>32</v>
      </c>
      <c r="H427" s="3" t="s">
        <v>54</v>
      </c>
      <c r="I427" s="3" t="s">
        <v>45</v>
      </c>
      <c r="J427" s="6">
        <v>2023</v>
      </c>
      <c r="K427" s="3">
        <v>18125.509999999998</v>
      </c>
      <c r="L427" s="3">
        <v>513205</v>
      </c>
      <c r="M427" s="3">
        <v>19341</v>
      </c>
      <c r="N427" s="3">
        <v>2501</v>
      </c>
      <c r="O427" s="3">
        <v>14921.93</v>
      </c>
      <c r="P427" s="9">
        <f t="shared" si="30"/>
        <v>3.7686694400872947</v>
      </c>
      <c r="Q427" s="11">
        <f t="shared" si="31"/>
        <v>0.77151801871671577</v>
      </c>
      <c r="R427" s="13">
        <f t="shared" si="32"/>
        <v>5.9663854458216719</v>
      </c>
      <c r="S427" s="4">
        <f t="shared" si="33"/>
        <v>1.2146893866946165</v>
      </c>
      <c r="T427" s="19" t="str">
        <f t="shared" si="34"/>
        <v>🟢 High</v>
      </c>
    </row>
    <row r="428" spans="1:20" x14ac:dyDescent="0.3">
      <c r="A428" s="16">
        <v>427</v>
      </c>
      <c r="B428" s="1" t="s">
        <v>93</v>
      </c>
      <c r="C428" s="1" t="s">
        <v>36</v>
      </c>
      <c r="D428" s="1" t="s">
        <v>29</v>
      </c>
      <c r="E428" s="1" t="s">
        <v>56</v>
      </c>
      <c r="F428" s="1" t="s">
        <v>31</v>
      </c>
      <c r="G428" s="1" t="s">
        <v>57</v>
      </c>
      <c r="H428" s="1" t="s">
        <v>68</v>
      </c>
      <c r="I428" s="1" t="s">
        <v>27</v>
      </c>
      <c r="J428" s="5">
        <v>2023</v>
      </c>
      <c r="K428" s="1">
        <v>18484.27</v>
      </c>
      <c r="L428" s="1">
        <v>324739</v>
      </c>
      <c r="M428" s="1">
        <v>8278</v>
      </c>
      <c r="N428" s="1">
        <v>121</v>
      </c>
      <c r="O428" s="1">
        <v>13782.75</v>
      </c>
      <c r="P428" s="8">
        <f t="shared" si="30"/>
        <v>2.5491240657882179</v>
      </c>
      <c r="Q428" s="10">
        <f t="shared" si="31"/>
        <v>1.664985503744866</v>
      </c>
      <c r="R428" s="12">
        <f t="shared" si="32"/>
        <v>113.90702479338843</v>
      </c>
      <c r="S428" s="2">
        <f t="shared" si="33"/>
        <v>1.3411162503854457</v>
      </c>
      <c r="T428" s="18" t="str">
        <f t="shared" si="34"/>
        <v>🟡 Mid</v>
      </c>
    </row>
    <row r="429" spans="1:20" x14ac:dyDescent="0.3">
      <c r="A429" s="17">
        <v>428</v>
      </c>
      <c r="B429" s="3" t="s">
        <v>96</v>
      </c>
      <c r="C429" s="3" t="s">
        <v>40</v>
      </c>
      <c r="D429" s="3" t="s">
        <v>13</v>
      </c>
      <c r="E429" s="3" t="s">
        <v>30</v>
      </c>
      <c r="F429" s="3" t="s">
        <v>31</v>
      </c>
      <c r="G429" s="3" t="s">
        <v>43</v>
      </c>
      <c r="H429" s="3" t="s">
        <v>68</v>
      </c>
      <c r="I429" s="3" t="s">
        <v>27</v>
      </c>
      <c r="J429" s="6">
        <v>2024</v>
      </c>
      <c r="K429" s="3">
        <v>17634.21</v>
      </c>
      <c r="L429" s="3">
        <v>35897</v>
      </c>
      <c r="M429" s="3">
        <v>729</v>
      </c>
      <c r="N429" s="3">
        <v>84</v>
      </c>
      <c r="O429" s="3">
        <v>17610.03</v>
      </c>
      <c r="P429" s="9">
        <f t="shared" si="30"/>
        <v>2.0308103741259713</v>
      </c>
      <c r="Q429" s="11">
        <f t="shared" si="31"/>
        <v>24.156419753086418</v>
      </c>
      <c r="R429" s="13">
        <f t="shared" si="32"/>
        <v>209.64321428571427</v>
      </c>
      <c r="S429" s="4">
        <f t="shared" si="33"/>
        <v>1.0013730811361481</v>
      </c>
      <c r="T429" s="19" t="str">
        <f t="shared" si="34"/>
        <v>🟡 Mid</v>
      </c>
    </row>
    <row r="430" spans="1:20" x14ac:dyDescent="0.3">
      <c r="A430" s="16">
        <v>429</v>
      </c>
      <c r="B430" s="1" t="s">
        <v>65</v>
      </c>
      <c r="C430" s="1" t="s">
        <v>36</v>
      </c>
      <c r="D430" s="1" t="s">
        <v>13</v>
      </c>
      <c r="E430" s="1" t="s">
        <v>56</v>
      </c>
      <c r="F430" s="1" t="s">
        <v>31</v>
      </c>
      <c r="G430" s="1" t="s">
        <v>25</v>
      </c>
      <c r="H430" s="1" t="s">
        <v>58</v>
      </c>
      <c r="I430" s="1" t="s">
        <v>27</v>
      </c>
      <c r="J430" s="5">
        <v>2024</v>
      </c>
      <c r="K430" s="1">
        <v>10654</v>
      </c>
      <c r="L430" s="1">
        <v>715929</v>
      </c>
      <c r="M430" s="1">
        <v>16229</v>
      </c>
      <c r="N430" s="1">
        <v>1069</v>
      </c>
      <c r="O430" s="1">
        <v>7467.94</v>
      </c>
      <c r="P430" s="8">
        <f t="shared" si="30"/>
        <v>2.2668448966308112</v>
      </c>
      <c r="Q430" s="10">
        <f t="shared" si="31"/>
        <v>0.46016020703678595</v>
      </c>
      <c r="R430" s="12">
        <f t="shared" si="32"/>
        <v>6.9859120673526656</v>
      </c>
      <c r="S430" s="2">
        <f t="shared" si="33"/>
        <v>1.4266317083425952</v>
      </c>
      <c r="T430" s="18" t="str">
        <f t="shared" si="34"/>
        <v>🟡 Mid</v>
      </c>
    </row>
    <row r="431" spans="1:20" x14ac:dyDescent="0.3">
      <c r="A431" s="17">
        <v>430</v>
      </c>
      <c r="B431" s="3" t="s">
        <v>35</v>
      </c>
      <c r="C431" s="3" t="s">
        <v>36</v>
      </c>
      <c r="D431" s="3" t="s">
        <v>13</v>
      </c>
      <c r="E431" s="3" t="s">
        <v>61</v>
      </c>
      <c r="F431" s="3" t="s">
        <v>47</v>
      </c>
      <c r="G431" s="3" t="s">
        <v>50</v>
      </c>
      <c r="H431" s="3" t="s">
        <v>81</v>
      </c>
      <c r="I431" s="3" t="s">
        <v>34</v>
      </c>
      <c r="J431" s="6">
        <v>2023</v>
      </c>
      <c r="K431" s="3">
        <v>4531.7700000000004</v>
      </c>
      <c r="L431" s="3">
        <v>150308</v>
      </c>
      <c r="M431" s="3">
        <v>3524</v>
      </c>
      <c r="N431" s="3">
        <v>319</v>
      </c>
      <c r="O431" s="3">
        <v>4021.04</v>
      </c>
      <c r="P431" s="9">
        <f t="shared" si="30"/>
        <v>2.3445192537988664</v>
      </c>
      <c r="Q431" s="11">
        <f t="shared" si="31"/>
        <v>1.141044267877412</v>
      </c>
      <c r="R431" s="13">
        <f t="shared" si="32"/>
        <v>12.60514106583072</v>
      </c>
      <c r="S431" s="4">
        <f t="shared" si="33"/>
        <v>1.1270144042337307</v>
      </c>
      <c r="T431" s="19" t="str">
        <f t="shared" si="34"/>
        <v>🟡 Mid</v>
      </c>
    </row>
    <row r="432" spans="1:20" x14ac:dyDescent="0.3">
      <c r="A432" s="16">
        <v>431</v>
      </c>
      <c r="B432" s="1" t="s">
        <v>55</v>
      </c>
      <c r="C432" s="1" t="s">
        <v>36</v>
      </c>
      <c r="D432" s="1" t="s">
        <v>13</v>
      </c>
      <c r="E432" s="1" t="s">
        <v>61</v>
      </c>
      <c r="F432" s="1" t="s">
        <v>24</v>
      </c>
      <c r="G432" s="1" t="s">
        <v>50</v>
      </c>
      <c r="H432" s="1" t="s">
        <v>26</v>
      </c>
      <c r="I432" s="1" t="s">
        <v>27</v>
      </c>
      <c r="J432" s="5">
        <v>2023</v>
      </c>
      <c r="K432" s="1">
        <v>6691.18</v>
      </c>
      <c r="L432" s="1">
        <v>589413</v>
      </c>
      <c r="M432" s="1">
        <v>11905</v>
      </c>
      <c r="N432" s="1">
        <v>748</v>
      </c>
      <c r="O432" s="1">
        <v>6374.01</v>
      </c>
      <c r="P432" s="8">
        <f t="shared" si="30"/>
        <v>2.0198061461148633</v>
      </c>
      <c r="Q432" s="10">
        <f t="shared" si="31"/>
        <v>0.53540613187736252</v>
      </c>
      <c r="R432" s="12">
        <f t="shared" si="32"/>
        <v>8.5214037433155081</v>
      </c>
      <c r="S432" s="2">
        <f t="shared" si="33"/>
        <v>1.0497598842800686</v>
      </c>
      <c r="T432" s="18" t="str">
        <f t="shared" si="34"/>
        <v>🟡 Mid</v>
      </c>
    </row>
    <row r="433" spans="1:20" x14ac:dyDescent="0.3">
      <c r="A433" s="17">
        <v>432</v>
      </c>
      <c r="B433" s="3" t="s">
        <v>91</v>
      </c>
      <c r="C433" s="3" t="s">
        <v>36</v>
      </c>
      <c r="D433" s="3" t="s">
        <v>13</v>
      </c>
      <c r="E433" s="3" t="s">
        <v>56</v>
      </c>
      <c r="F433" s="3" t="s">
        <v>47</v>
      </c>
      <c r="G433" s="3" t="s">
        <v>43</v>
      </c>
      <c r="H433" s="3" t="s">
        <v>48</v>
      </c>
      <c r="I433" s="3" t="s">
        <v>34</v>
      </c>
      <c r="J433" s="6">
        <v>2024</v>
      </c>
      <c r="K433" s="3">
        <v>3463.16</v>
      </c>
      <c r="L433" s="3">
        <v>202062</v>
      </c>
      <c r="M433" s="3">
        <v>5326</v>
      </c>
      <c r="N433" s="3">
        <v>306</v>
      </c>
      <c r="O433" s="3">
        <v>2346.61</v>
      </c>
      <c r="P433" s="9">
        <f t="shared" si="30"/>
        <v>2.6358246478803538</v>
      </c>
      <c r="Q433" s="11">
        <f t="shared" si="31"/>
        <v>0.44059519339091252</v>
      </c>
      <c r="R433" s="13">
        <f t="shared" si="32"/>
        <v>7.6686601307189548</v>
      </c>
      <c r="S433" s="4">
        <f t="shared" si="33"/>
        <v>1.4758140466460126</v>
      </c>
      <c r="T433" s="19" t="str">
        <f t="shared" si="34"/>
        <v>🟡 Mid</v>
      </c>
    </row>
    <row r="434" spans="1:20" x14ac:dyDescent="0.3">
      <c r="A434" s="16">
        <v>433</v>
      </c>
      <c r="B434" s="1" t="s">
        <v>73</v>
      </c>
      <c r="C434" s="1" t="s">
        <v>21</v>
      </c>
      <c r="D434" s="1" t="s">
        <v>29</v>
      </c>
      <c r="E434" s="1" t="s">
        <v>61</v>
      </c>
      <c r="F434" s="1" t="s">
        <v>31</v>
      </c>
      <c r="G434" s="1" t="s">
        <v>25</v>
      </c>
      <c r="H434" s="1" t="s">
        <v>79</v>
      </c>
      <c r="I434" s="1" t="s">
        <v>45</v>
      </c>
      <c r="J434" s="5">
        <v>2023</v>
      </c>
      <c r="K434" s="1">
        <v>5002.79</v>
      </c>
      <c r="L434" s="1">
        <v>32351</v>
      </c>
      <c r="M434" s="1">
        <v>69</v>
      </c>
      <c r="N434" s="1">
        <v>1</v>
      </c>
      <c r="O434" s="1">
        <v>4057.14</v>
      </c>
      <c r="P434" s="8">
        <f t="shared" si="30"/>
        <v>0.21328552440419152</v>
      </c>
      <c r="Q434" s="10">
        <f t="shared" si="31"/>
        <v>58.799130434782604</v>
      </c>
      <c r="R434" s="12">
        <f t="shared" si="32"/>
        <v>4057.14</v>
      </c>
      <c r="S434" s="2">
        <f t="shared" si="33"/>
        <v>1.233082910621768</v>
      </c>
      <c r="T434" s="18" t="str">
        <f t="shared" si="34"/>
        <v>🔴 Low</v>
      </c>
    </row>
    <row r="435" spans="1:20" x14ac:dyDescent="0.3">
      <c r="A435" s="17">
        <v>434</v>
      </c>
      <c r="B435" s="3" t="s">
        <v>74</v>
      </c>
      <c r="C435" s="3" t="s">
        <v>21</v>
      </c>
      <c r="D435" s="3" t="s">
        <v>13</v>
      </c>
      <c r="E435" s="3" t="s">
        <v>30</v>
      </c>
      <c r="F435" s="3" t="s">
        <v>47</v>
      </c>
      <c r="G435" s="3" t="s">
        <v>50</v>
      </c>
      <c r="H435" s="3" t="s">
        <v>48</v>
      </c>
      <c r="I435" s="3" t="s">
        <v>34</v>
      </c>
      <c r="J435" s="6">
        <v>2023</v>
      </c>
      <c r="K435" s="3">
        <v>3693.83</v>
      </c>
      <c r="L435" s="3">
        <v>242264</v>
      </c>
      <c r="M435" s="3">
        <v>3126</v>
      </c>
      <c r="N435" s="3">
        <v>163</v>
      </c>
      <c r="O435" s="3">
        <v>3402.41</v>
      </c>
      <c r="P435" s="9">
        <f t="shared" si="30"/>
        <v>1.2903279067463593</v>
      </c>
      <c r="Q435" s="11">
        <f t="shared" si="31"/>
        <v>1.0884229046705054</v>
      </c>
      <c r="R435" s="13">
        <f t="shared" si="32"/>
        <v>20.87368098159509</v>
      </c>
      <c r="S435" s="4">
        <f t="shared" si="33"/>
        <v>1.0856510532240382</v>
      </c>
      <c r="T435" s="19" t="str">
        <f t="shared" si="34"/>
        <v>🔴 Low</v>
      </c>
    </row>
    <row r="436" spans="1:20" x14ac:dyDescent="0.3">
      <c r="A436" s="16">
        <v>435</v>
      </c>
      <c r="B436" s="1" t="s">
        <v>71</v>
      </c>
      <c r="C436" s="1" t="s">
        <v>36</v>
      </c>
      <c r="D436" s="1" t="s">
        <v>41</v>
      </c>
      <c r="E436" s="1" t="s">
        <v>30</v>
      </c>
      <c r="F436" s="1" t="s">
        <v>31</v>
      </c>
      <c r="G436" s="1" t="s">
        <v>25</v>
      </c>
      <c r="H436" s="1" t="s">
        <v>83</v>
      </c>
      <c r="I436" s="1" t="s">
        <v>38</v>
      </c>
      <c r="J436" s="5">
        <v>2023</v>
      </c>
      <c r="K436" s="1">
        <v>3953.02</v>
      </c>
      <c r="L436" s="1">
        <v>465623</v>
      </c>
      <c r="M436" s="1">
        <v>14850</v>
      </c>
      <c r="N436" s="1">
        <v>1276</v>
      </c>
      <c r="O436" s="1">
        <v>3131.46</v>
      </c>
      <c r="P436" s="8">
        <f t="shared" si="30"/>
        <v>3.1892754438676785</v>
      </c>
      <c r="Q436" s="10">
        <f t="shared" si="31"/>
        <v>0.21087272727272727</v>
      </c>
      <c r="R436" s="12">
        <f t="shared" si="32"/>
        <v>2.4541222570532915</v>
      </c>
      <c r="S436" s="2">
        <f t="shared" si="33"/>
        <v>1.262356855907468</v>
      </c>
      <c r="T436" s="18" t="str">
        <f t="shared" si="34"/>
        <v>🟢 High</v>
      </c>
    </row>
    <row r="437" spans="1:20" x14ac:dyDescent="0.3">
      <c r="A437" s="17">
        <v>436</v>
      </c>
      <c r="B437" s="3" t="s">
        <v>75</v>
      </c>
      <c r="C437" s="3" t="s">
        <v>36</v>
      </c>
      <c r="D437" s="3" t="s">
        <v>41</v>
      </c>
      <c r="E437" s="3" t="s">
        <v>42</v>
      </c>
      <c r="F437" s="3" t="s">
        <v>31</v>
      </c>
      <c r="G437" s="3" t="s">
        <v>50</v>
      </c>
      <c r="H437" s="3" t="s">
        <v>54</v>
      </c>
      <c r="I437" s="3" t="s">
        <v>45</v>
      </c>
      <c r="J437" s="6">
        <v>2024</v>
      </c>
      <c r="K437" s="3">
        <v>8185.94</v>
      </c>
      <c r="L437" s="3">
        <v>783533</v>
      </c>
      <c r="M437" s="3">
        <v>18569</v>
      </c>
      <c r="N437" s="3">
        <v>1963</v>
      </c>
      <c r="O437" s="3">
        <v>6754.93</v>
      </c>
      <c r="P437" s="9">
        <f t="shared" si="30"/>
        <v>2.3699065642417105</v>
      </c>
      <c r="Q437" s="11">
        <f t="shared" si="31"/>
        <v>0.3637745705207604</v>
      </c>
      <c r="R437" s="13">
        <f t="shared" si="32"/>
        <v>3.4411258278145698</v>
      </c>
      <c r="S437" s="4">
        <f t="shared" si="33"/>
        <v>1.2118467548886516</v>
      </c>
      <c r="T437" s="19" t="str">
        <f t="shared" si="34"/>
        <v>🟡 Mid</v>
      </c>
    </row>
    <row r="438" spans="1:20" x14ac:dyDescent="0.3">
      <c r="A438" s="16">
        <v>437</v>
      </c>
      <c r="B438" s="1" t="s">
        <v>28</v>
      </c>
      <c r="C438" s="1" t="s">
        <v>21</v>
      </c>
      <c r="D438" s="1" t="s">
        <v>29</v>
      </c>
      <c r="E438" s="1" t="s">
        <v>42</v>
      </c>
      <c r="F438" s="1" t="s">
        <v>47</v>
      </c>
      <c r="G438" s="1" t="s">
        <v>50</v>
      </c>
      <c r="H438" s="1" t="s">
        <v>68</v>
      </c>
      <c r="I438" s="1" t="s">
        <v>27</v>
      </c>
      <c r="J438" s="5">
        <v>2023</v>
      </c>
      <c r="K438" s="1">
        <v>10614.7</v>
      </c>
      <c r="L438" s="1">
        <v>419828</v>
      </c>
      <c r="M438" s="1">
        <v>3529</v>
      </c>
      <c r="N438" s="1">
        <v>76</v>
      </c>
      <c r="O438" s="1">
        <v>9780.0400000000009</v>
      </c>
      <c r="P438" s="8">
        <f t="shared" si="30"/>
        <v>0.8405823337176177</v>
      </c>
      <c r="Q438" s="10">
        <f t="shared" si="31"/>
        <v>2.7713346557098331</v>
      </c>
      <c r="R438" s="12">
        <f t="shared" si="32"/>
        <v>128.68473684210528</v>
      </c>
      <c r="S438" s="2">
        <f t="shared" si="33"/>
        <v>1.085343209230228</v>
      </c>
      <c r="T438" s="18" t="str">
        <f t="shared" si="34"/>
        <v>🔴 Low</v>
      </c>
    </row>
    <row r="439" spans="1:20" x14ac:dyDescent="0.3">
      <c r="A439" s="17">
        <v>438</v>
      </c>
      <c r="B439" s="3" t="s">
        <v>97</v>
      </c>
      <c r="C439" s="3" t="s">
        <v>36</v>
      </c>
      <c r="D439" s="3" t="s">
        <v>13</v>
      </c>
      <c r="E439" s="3" t="s">
        <v>56</v>
      </c>
      <c r="F439" s="3" t="s">
        <v>47</v>
      </c>
      <c r="G439" s="3" t="s">
        <v>43</v>
      </c>
      <c r="H439" s="3" t="s">
        <v>52</v>
      </c>
      <c r="I439" s="3" t="s">
        <v>38</v>
      </c>
      <c r="J439" s="6">
        <v>2024</v>
      </c>
      <c r="K439" s="3">
        <v>3746.49</v>
      </c>
      <c r="L439" s="3">
        <v>313721</v>
      </c>
      <c r="M439" s="3">
        <v>8739</v>
      </c>
      <c r="N439" s="3">
        <v>812</v>
      </c>
      <c r="O439" s="3">
        <v>2333.7199999999998</v>
      </c>
      <c r="P439" s="9">
        <f t="shared" si="30"/>
        <v>2.7855961188444507</v>
      </c>
      <c r="Q439" s="11">
        <f t="shared" si="31"/>
        <v>0.2670465728344204</v>
      </c>
      <c r="R439" s="13">
        <f t="shared" si="32"/>
        <v>2.8740394088669947</v>
      </c>
      <c r="S439" s="4">
        <f t="shared" si="33"/>
        <v>1.6053725382650876</v>
      </c>
      <c r="T439" s="19" t="str">
        <f t="shared" si="34"/>
        <v>🟡 Mid</v>
      </c>
    </row>
    <row r="440" spans="1:20" x14ac:dyDescent="0.3">
      <c r="A440" s="16">
        <v>439</v>
      </c>
      <c r="B440" s="1" t="s">
        <v>69</v>
      </c>
      <c r="C440" s="1" t="s">
        <v>21</v>
      </c>
      <c r="D440" s="1" t="s">
        <v>41</v>
      </c>
      <c r="E440" s="1" t="s">
        <v>56</v>
      </c>
      <c r="F440" s="1" t="s">
        <v>24</v>
      </c>
      <c r="G440" s="1" t="s">
        <v>32</v>
      </c>
      <c r="H440" s="1" t="s">
        <v>58</v>
      </c>
      <c r="I440" s="1" t="s">
        <v>27</v>
      </c>
      <c r="J440" s="5">
        <v>2023</v>
      </c>
      <c r="K440" s="1">
        <v>15685.26</v>
      </c>
      <c r="L440" s="1">
        <v>734928</v>
      </c>
      <c r="M440" s="1">
        <v>1627</v>
      </c>
      <c r="N440" s="1">
        <v>139</v>
      </c>
      <c r="O440" s="1">
        <v>9575.27</v>
      </c>
      <c r="P440" s="8">
        <f t="shared" si="30"/>
        <v>0.2213822306402804</v>
      </c>
      <c r="Q440" s="10">
        <f t="shared" si="31"/>
        <v>5.8852304855562387</v>
      </c>
      <c r="R440" s="12">
        <f t="shared" si="32"/>
        <v>68.88683453237411</v>
      </c>
      <c r="S440" s="2">
        <f t="shared" si="33"/>
        <v>1.6381010666017772</v>
      </c>
      <c r="T440" s="18" t="str">
        <f t="shared" si="34"/>
        <v>🔴 Low</v>
      </c>
    </row>
    <row r="441" spans="1:20" x14ac:dyDescent="0.3">
      <c r="A441" s="17">
        <v>440</v>
      </c>
      <c r="B441" s="3" t="s">
        <v>84</v>
      </c>
      <c r="C441" s="3" t="s">
        <v>40</v>
      </c>
      <c r="D441" s="3" t="s">
        <v>41</v>
      </c>
      <c r="E441" s="3" t="s">
        <v>42</v>
      </c>
      <c r="F441" s="3" t="s">
        <v>47</v>
      </c>
      <c r="G441" s="3" t="s">
        <v>43</v>
      </c>
      <c r="H441" s="3" t="s">
        <v>54</v>
      </c>
      <c r="I441" s="3" t="s">
        <v>45</v>
      </c>
      <c r="J441" s="6">
        <v>2023</v>
      </c>
      <c r="K441" s="3">
        <v>14508.31</v>
      </c>
      <c r="L441" s="3">
        <v>134545</v>
      </c>
      <c r="M441" s="3">
        <v>1959</v>
      </c>
      <c r="N441" s="3">
        <v>131</v>
      </c>
      <c r="O441" s="3">
        <v>13008.37</v>
      </c>
      <c r="P441" s="9">
        <f t="shared" si="30"/>
        <v>1.4560184324947043</v>
      </c>
      <c r="Q441" s="11">
        <f t="shared" si="31"/>
        <v>6.6403113833588572</v>
      </c>
      <c r="R441" s="13">
        <f t="shared" si="32"/>
        <v>99.300534351145046</v>
      </c>
      <c r="S441" s="4">
        <f t="shared" si="33"/>
        <v>1.1153057608293735</v>
      </c>
      <c r="T441" s="19" t="str">
        <f t="shared" si="34"/>
        <v>🔴 Low</v>
      </c>
    </row>
    <row r="442" spans="1:20" x14ac:dyDescent="0.3">
      <c r="A442" s="16">
        <v>441</v>
      </c>
      <c r="B442" s="1" t="s">
        <v>95</v>
      </c>
      <c r="C442" s="1" t="s">
        <v>21</v>
      </c>
      <c r="D442" s="1" t="s">
        <v>22</v>
      </c>
      <c r="E442" s="1" t="s">
        <v>61</v>
      </c>
      <c r="F442" s="1" t="s">
        <v>31</v>
      </c>
      <c r="G442" s="1" t="s">
        <v>50</v>
      </c>
      <c r="H442" s="1" t="s">
        <v>54</v>
      </c>
      <c r="I442" s="1" t="s">
        <v>45</v>
      </c>
      <c r="J442" s="5">
        <v>2023</v>
      </c>
      <c r="K442" s="1">
        <v>7884.23</v>
      </c>
      <c r="L442" s="1">
        <v>404095</v>
      </c>
      <c r="M442" s="1">
        <v>4018</v>
      </c>
      <c r="N442" s="1">
        <v>40</v>
      </c>
      <c r="O442" s="1">
        <v>7615.76</v>
      </c>
      <c r="P442" s="8">
        <f t="shared" si="30"/>
        <v>0.99432064242319251</v>
      </c>
      <c r="Q442" s="10">
        <f t="shared" si="31"/>
        <v>1.8954106520657044</v>
      </c>
      <c r="R442" s="12">
        <f t="shared" si="32"/>
        <v>190.39400000000001</v>
      </c>
      <c r="S442" s="2">
        <f t="shared" si="33"/>
        <v>1.0352518986942865</v>
      </c>
      <c r="T442" s="18" t="str">
        <f t="shared" si="34"/>
        <v>🔴 Low</v>
      </c>
    </row>
    <row r="443" spans="1:20" x14ac:dyDescent="0.3">
      <c r="A443" s="17">
        <v>442</v>
      </c>
      <c r="B443" s="3" t="s">
        <v>65</v>
      </c>
      <c r="C443" s="3" t="s">
        <v>36</v>
      </c>
      <c r="D443" s="3" t="s">
        <v>46</v>
      </c>
      <c r="E443" s="3" t="s">
        <v>30</v>
      </c>
      <c r="F443" s="3" t="s">
        <v>31</v>
      </c>
      <c r="G443" s="3" t="s">
        <v>57</v>
      </c>
      <c r="H443" s="3" t="s">
        <v>33</v>
      </c>
      <c r="I443" s="3" t="s">
        <v>34</v>
      </c>
      <c r="J443" s="6">
        <v>2024</v>
      </c>
      <c r="K443" s="3">
        <v>6535.61</v>
      </c>
      <c r="L443" s="3">
        <v>472935</v>
      </c>
      <c r="M443" s="3">
        <v>13636</v>
      </c>
      <c r="N443" s="3">
        <v>781</v>
      </c>
      <c r="O443" s="3">
        <v>4417.37</v>
      </c>
      <c r="P443" s="9">
        <f t="shared" si="30"/>
        <v>2.883271485510694</v>
      </c>
      <c r="Q443" s="11">
        <f t="shared" si="31"/>
        <v>0.32394910530947491</v>
      </c>
      <c r="R443" s="13">
        <f t="shared" si="32"/>
        <v>5.6560435339308581</v>
      </c>
      <c r="S443" s="4">
        <f t="shared" si="33"/>
        <v>1.4795251473161632</v>
      </c>
      <c r="T443" s="19" t="str">
        <f t="shared" si="34"/>
        <v>🟡 Mid</v>
      </c>
    </row>
    <row r="444" spans="1:20" x14ac:dyDescent="0.3">
      <c r="A444" s="16">
        <v>443</v>
      </c>
      <c r="B444" s="1" t="s">
        <v>97</v>
      </c>
      <c r="C444" s="1" t="s">
        <v>36</v>
      </c>
      <c r="D444" s="1" t="s">
        <v>22</v>
      </c>
      <c r="E444" s="1" t="s">
        <v>61</v>
      </c>
      <c r="F444" s="1" t="s">
        <v>47</v>
      </c>
      <c r="G444" s="1" t="s">
        <v>57</v>
      </c>
      <c r="H444" s="1" t="s">
        <v>48</v>
      </c>
      <c r="I444" s="1" t="s">
        <v>34</v>
      </c>
      <c r="J444" s="5">
        <v>2024</v>
      </c>
      <c r="K444" s="1">
        <v>17180.52</v>
      </c>
      <c r="L444" s="1">
        <v>574902</v>
      </c>
      <c r="M444" s="1">
        <v>17486</v>
      </c>
      <c r="N444" s="1">
        <v>216</v>
      </c>
      <c r="O444" s="1">
        <v>11873.23</v>
      </c>
      <c r="P444" s="8">
        <f t="shared" si="30"/>
        <v>3.0415618661963255</v>
      </c>
      <c r="Q444" s="10">
        <f t="shared" si="31"/>
        <v>0.6790134965114949</v>
      </c>
      <c r="R444" s="12">
        <f t="shared" si="32"/>
        <v>54.968657407407406</v>
      </c>
      <c r="S444" s="2">
        <f t="shared" si="33"/>
        <v>1.4469963101868659</v>
      </c>
      <c r="T444" s="18" t="str">
        <f t="shared" si="34"/>
        <v>🟢 High</v>
      </c>
    </row>
    <row r="445" spans="1:20" x14ac:dyDescent="0.3">
      <c r="A445" s="17">
        <v>444</v>
      </c>
      <c r="B445" s="3" t="s">
        <v>74</v>
      </c>
      <c r="C445" s="3" t="s">
        <v>21</v>
      </c>
      <c r="D445" s="3" t="s">
        <v>41</v>
      </c>
      <c r="E445" s="3" t="s">
        <v>56</v>
      </c>
      <c r="F445" s="3" t="s">
        <v>47</v>
      </c>
      <c r="G445" s="3" t="s">
        <v>57</v>
      </c>
      <c r="H445" s="3" t="s">
        <v>79</v>
      </c>
      <c r="I445" s="3" t="s">
        <v>45</v>
      </c>
      <c r="J445" s="6">
        <v>2023</v>
      </c>
      <c r="K445" s="3">
        <v>5271.91</v>
      </c>
      <c r="L445" s="3">
        <v>578929</v>
      </c>
      <c r="M445" s="3">
        <v>346</v>
      </c>
      <c r="N445" s="3">
        <v>28</v>
      </c>
      <c r="O445" s="3">
        <v>4555.07</v>
      </c>
      <c r="P445" s="9">
        <f t="shared" si="30"/>
        <v>5.9765532560987621E-2</v>
      </c>
      <c r="Q445" s="11">
        <f t="shared" si="31"/>
        <v>13.164942196531792</v>
      </c>
      <c r="R445" s="13">
        <f t="shared" si="32"/>
        <v>162.68107142857141</v>
      </c>
      <c r="S445" s="4">
        <f t="shared" si="33"/>
        <v>1.1573718954922756</v>
      </c>
      <c r="T445" s="19" t="str">
        <f t="shared" si="34"/>
        <v>🔴 Low</v>
      </c>
    </row>
    <row r="446" spans="1:20" x14ac:dyDescent="0.3">
      <c r="A446" s="16">
        <v>445</v>
      </c>
      <c r="B446" s="1" t="s">
        <v>98</v>
      </c>
      <c r="C446" s="1" t="s">
        <v>36</v>
      </c>
      <c r="D446" s="1" t="s">
        <v>46</v>
      </c>
      <c r="E446" s="1" t="s">
        <v>30</v>
      </c>
      <c r="F446" s="1" t="s">
        <v>24</v>
      </c>
      <c r="G446" s="1" t="s">
        <v>43</v>
      </c>
      <c r="H446" s="1" t="s">
        <v>68</v>
      </c>
      <c r="I446" s="1" t="s">
        <v>27</v>
      </c>
      <c r="J446" s="5">
        <v>2023</v>
      </c>
      <c r="K446" s="1">
        <v>17149.669999999998</v>
      </c>
      <c r="L446" s="1">
        <v>704396</v>
      </c>
      <c r="M446" s="1">
        <v>15498</v>
      </c>
      <c r="N446" s="1">
        <v>927</v>
      </c>
      <c r="O446" s="1">
        <v>10921.51</v>
      </c>
      <c r="P446" s="8">
        <f t="shared" si="30"/>
        <v>2.2001828516913782</v>
      </c>
      <c r="Q446" s="10">
        <f t="shared" si="31"/>
        <v>0.70470447799716096</v>
      </c>
      <c r="R446" s="12">
        <f t="shared" si="32"/>
        <v>11.781564185544768</v>
      </c>
      <c r="S446" s="2">
        <f t="shared" si="33"/>
        <v>1.5702654669546607</v>
      </c>
      <c r="T446" s="18" t="str">
        <f t="shared" si="34"/>
        <v>🟡 Mid</v>
      </c>
    </row>
    <row r="447" spans="1:20" x14ac:dyDescent="0.3">
      <c r="A447" s="17">
        <v>446</v>
      </c>
      <c r="B447" s="3" t="s">
        <v>35</v>
      </c>
      <c r="C447" s="3" t="s">
        <v>36</v>
      </c>
      <c r="D447" s="3" t="s">
        <v>46</v>
      </c>
      <c r="E447" s="3" t="s">
        <v>30</v>
      </c>
      <c r="F447" s="3" t="s">
        <v>31</v>
      </c>
      <c r="G447" s="3" t="s">
        <v>43</v>
      </c>
      <c r="H447" s="3" t="s">
        <v>79</v>
      </c>
      <c r="I447" s="3" t="s">
        <v>45</v>
      </c>
      <c r="J447" s="6">
        <v>2023</v>
      </c>
      <c r="K447" s="3">
        <v>19342.72</v>
      </c>
      <c r="L447" s="3">
        <v>790734</v>
      </c>
      <c r="M447" s="3">
        <v>19607</v>
      </c>
      <c r="N447" s="3">
        <v>1465</v>
      </c>
      <c r="O447" s="3">
        <v>19172.919999999998</v>
      </c>
      <c r="P447" s="9">
        <f t="shared" si="30"/>
        <v>2.4795949080221669</v>
      </c>
      <c r="Q447" s="11">
        <f t="shared" si="31"/>
        <v>0.97786096802162481</v>
      </c>
      <c r="R447" s="13">
        <f t="shared" si="32"/>
        <v>13.087317406143343</v>
      </c>
      <c r="S447" s="4">
        <f t="shared" si="33"/>
        <v>1.0088562409898962</v>
      </c>
      <c r="T447" s="19" t="str">
        <f t="shared" si="34"/>
        <v>🟡 Mid</v>
      </c>
    </row>
    <row r="448" spans="1:20" x14ac:dyDescent="0.3">
      <c r="A448" s="16">
        <v>447</v>
      </c>
      <c r="B448" s="1" t="s">
        <v>71</v>
      </c>
      <c r="C448" s="1" t="s">
        <v>36</v>
      </c>
      <c r="D448" s="1" t="s">
        <v>13</v>
      </c>
      <c r="E448" s="1" t="s">
        <v>23</v>
      </c>
      <c r="F448" s="1" t="s">
        <v>47</v>
      </c>
      <c r="G448" s="1" t="s">
        <v>57</v>
      </c>
      <c r="H448" s="1" t="s">
        <v>33</v>
      </c>
      <c r="I448" s="1" t="s">
        <v>34</v>
      </c>
      <c r="J448" s="5">
        <v>2023</v>
      </c>
      <c r="K448" s="1">
        <v>6210.24</v>
      </c>
      <c r="L448" s="1">
        <v>146081</v>
      </c>
      <c r="M448" s="1">
        <v>5132</v>
      </c>
      <c r="N448" s="1">
        <v>374</v>
      </c>
      <c r="O448" s="1">
        <v>4805.3500000000004</v>
      </c>
      <c r="P448" s="8">
        <f t="shared" si="30"/>
        <v>3.5131194337388165</v>
      </c>
      <c r="Q448" s="10">
        <f t="shared" si="31"/>
        <v>0.93635035074045214</v>
      </c>
      <c r="R448" s="12">
        <f t="shared" si="32"/>
        <v>12.848529411764707</v>
      </c>
      <c r="S448" s="2">
        <f t="shared" si="33"/>
        <v>1.292359557576451</v>
      </c>
      <c r="T448" s="18" t="str">
        <f t="shared" si="34"/>
        <v>🟢 High</v>
      </c>
    </row>
    <row r="449" spans="1:20" x14ac:dyDescent="0.3">
      <c r="A449" s="17">
        <v>448</v>
      </c>
      <c r="B449" s="3" t="s">
        <v>93</v>
      </c>
      <c r="C449" s="3" t="s">
        <v>36</v>
      </c>
      <c r="D449" s="3" t="s">
        <v>29</v>
      </c>
      <c r="E449" s="3" t="s">
        <v>42</v>
      </c>
      <c r="F449" s="3" t="s">
        <v>24</v>
      </c>
      <c r="G449" s="3" t="s">
        <v>32</v>
      </c>
      <c r="H449" s="3" t="s">
        <v>54</v>
      </c>
      <c r="I449" s="3" t="s">
        <v>45</v>
      </c>
      <c r="J449" s="6">
        <v>2023</v>
      </c>
      <c r="K449" s="3">
        <v>9931.43</v>
      </c>
      <c r="L449" s="3">
        <v>727106</v>
      </c>
      <c r="M449" s="3">
        <v>25355</v>
      </c>
      <c r="N449" s="3">
        <v>713</v>
      </c>
      <c r="O449" s="3">
        <v>9246.5400000000009</v>
      </c>
      <c r="P449" s="9">
        <f t="shared" si="30"/>
        <v>3.4871119204077532</v>
      </c>
      <c r="Q449" s="11">
        <f t="shared" si="31"/>
        <v>0.36468309998028003</v>
      </c>
      <c r="R449" s="13">
        <f t="shared" si="32"/>
        <v>12.968499298737729</v>
      </c>
      <c r="S449" s="4">
        <f t="shared" si="33"/>
        <v>1.0740698682966816</v>
      </c>
      <c r="T449" s="19" t="str">
        <f t="shared" si="34"/>
        <v>🟢 High</v>
      </c>
    </row>
    <row r="450" spans="1:20" x14ac:dyDescent="0.3">
      <c r="A450" s="16">
        <v>449</v>
      </c>
      <c r="B450" s="1" t="s">
        <v>59</v>
      </c>
      <c r="C450" s="1" t="s">
        <v>21</v>
      </c>
      <c r="D450" s="1" t="s">
        <v>41</v>
      </c>
      <c r="E450" s="1" t="s">
        <v>61</v>
      </c>
      <c r="F450" s="1" t="s">
        <v>47</v>
      </c>
      <c r="G450" s="1" t="s">
        <v>43</v>
      </c>
      <c r="H450" s="1" t="s">
        <v>81</v>
      </c>
      <c r="I450" s="1" t="s">
        <v>34</v>
      </c>
      <c r="J450" s="5">
        <v>2024</v>
      </c>
      <c r="K450" s="1">
        <v>18578.55</v>
      </c>
      <c r="L450" s="1">
        <v>649129</v>
      </c>
      <c r="M450" s="1">
        <v>913</v>
      </c>
      <c r="N450" s="1">
        <v>100</v>
      </c>
      <c r="O450" s="1">
        <v>14990.14</v>
      </c>
      <c r="P450" s="8">
        <f t="shared" ref="P450:P513" si="35">IFERROR(M450/L450*100,0)</f>
        <v>0.14065000947423395</v>
      </c>
      <c r="Q450" s="10">
        <f t="shared" ref="Q450:Q513" si="36">IFERROR(O450/M450,0)</f>
        <v>16.41855421686747</v>
      </c>
      <c r="R450" s="12">
        <f t="shared" ref="R450:R513" si="37">IFERROR(O450/N450,"-")</f>
        <v>149.9014</v>
      </c>
      <c r="S450" s="2">
        <f t="shared" ref="S450:S513" si="38">IFERROR(K450/O450,0)</f>
        <v>1.2393846888688165</v>
      </c>
      <c r="T450" s="18" t="str">
        <f t="shared" ref="T450:T513" si="39">IF(P450&gt;=3,"🟢 High",IF(P450&gt;=1.5,"🟡 Mid","🔴 Low"))</f>
        <v>🔴 Low</v>
      </c>
    </row>
    <row r="451" spans="1:20" x14ac:dyDescent="0.3">
      <c r="A451" s="17">
        <v>450</v>
      </c>
      <c r="B451" s="3" t="s">
        <v>97</v>
      </c>
      <c r="C451" s="3" t="s">
        <v>36</v>
      </c>
      <c r="D451" s="3" t="s">
        <v>13</v>
      </c>
      <c r="E451" s="3" t="s">
        <v>30</v>
      </c>
      <c r="F451" s="3" t="s">
        <v>24</v>
      </c>
      <c r="G451" s="3" t="s">
        <v>57</v>
      </c>
      <c r="H451" s="3" t="s">
        <v>68</v>
      </c>
      <c r="I451" s="3" t="s">
        <v>27</v>
      </c>
      <c r="J451" s="6">
        <v>2024</v>
      </c>
      <c r="K451" s="3">
        <v>12696.48</v>
      </c>
      <c r="L451" s="3">
        <v>128654</v>
      </c>
      <c r="M451" s="3">
        <v>3303</v>
      </c>
      <c r="N451" s="3">
        <v>335</v>
      </c>
      <c r="O451" s="3">
        <v>8723.48</v>
      </c>
      <c r="P451" s="9">
        <f t="shared" si="35"/>
        <v>2.5673511900135249</v>
      </c>
      <c r="Q451" s="11">
        <f t="shared" si="36"/>
        <v>2.6410778080532848</v>
      </c>
      <c r="R451" s="13">
        <f t="shared" si="37"/>
        <v>26.040238805970148</v>
      </c>
      <c r="S451" s="4">
        <f t="shared" si="38"/>
        <v>1.4554375088840692</v>
      </c>
      <c r="T451" s="19" t="str">
        <f t="shared" si="39"/>
        <v>🟡 Mid</v>
      </c>
    </row>
    <row r="452" spans="1:20" x14ac:dyDescent="0.3">
      <c r="A452" s="16">
        <v>451</v>
      </c>
      <c r="B452" s="1" t="s">
        <v>90</v>
      </c>
      <c r="C452" s="1" t="s">
        <v>21</v>
      </c>
      <c r="D452" s="1" t="s">
        <v>41</v>
      </c>
      <c r="E452" s="1" t="s">
        <v>42</v>
      </c>
      <c r="F452" s="1" t="s">
        <v>47</v>
      </c>
      <c r="G452" s="1" t="s">
        <v>43</v>
      </c>
      <c r="H452" s="1" t="s">
        <v>81</v>
      </c>
      <c r="I452" s="1" t="s">
        <v>34</v>
      </c>
      <c r="J452" s="5">
        <v>2023</v>
      </c>
      <c r="K452" s="1">
        <v>720.3</v>
      </c>
      <c r="L452" s="1">
        <v>215960</v>
      </c>
      <c r="M452" s="1">
        <v>1207</v>
      </c>
      <c r="N452" s="1">
        <v>78</v>
      </c>
      <c r="O452" s="1">
        <v>523.02</v>
      </c>
      <c r="P452" s="8">
        <f t="shared" si="35"/>
        <v>0.55889979625856645</v>
      </c>
      <c r="Q452" s="10">
        <f t="shared" si="36"/>
        <v>0.43332228666114331</v>
      </c>
      <c r="R452" s="12">
        <f t="shared" si="37"/>
        <v>6.7053846153846148</v>
      </c>
      <c r="S452" s="2">
        <f t="shared" si="38"/>
        <v>1.3771939887576001</v>
      </c>
      <c r="T452" s="18" t="str">
        <f t="shared" si="39"/>
        <v>🔴 Low</v>
      </c>
    </row>
    <row r="453" spans="1:20" x14ac:dyDescent="0.3">
      <c r="A453" s="17">
        <v>452</v>
      </c>
      <c r="B453" s="3" t="s">
        <v>78</v>
      </c>
      <c r="C453" s="3" t="s">
        <v>21</v>
      </c>
      <c r="D453" s="3" t="s">
        <v>22</v>
      </c>
      <c r="E453" s="3" t="s">
        <v>42</v>
      </c>
      <c r="F453" s="3" t="s">
        <v>31</v>
      </c>
      <c r="G453" s="3" t="s">
        <v>43</v>
      </c>
      <c r="H453" s="3" t="s">
        <v>37</v>
      </c>
      <c r="I453" s="3" t="s">
        <v>38</v>
      </c>
      <c r="J453" s="6">
        <v>2024</v>
      </c>
      <c r="K453" s="3">
        <v>14625.73</v>
      </c>
      <c r="L453" s="3">
        <v>650915</v>
      </c>
      <c r="M453" s="3">
        <v>2237</v>
      </c>
      <c r="N453" s="3">
        <v>43</v>
      </c>
      <c r="O453" s="3">
        <v>13886.52</v>
      </c>
      <c r="P453" s="9">
        <f t="shared" si="35"/>
        <v>0.34367006444773895</v>
      </c>
      <c r="Q453" s="11">
        <f t="shared" si="36"/>
        <v>6.2076531068395173</v>
      </c>
      <c r="R453" s="13">
        <f t="shared" si="37"/>
        <v>322.94232558139538</v>
      </c>
      <c r="S453" s="4">
        <f t="shared" si="38"/>
        <v>1.0532321992839098</v>
      </c>
      <c r="T453" s="19" t="str">
        <f t="shared" si="39"/>
        <v>🔴 Low</v>
      </c>
    </row>
    <row r="454" spans="1:20" x14ac:dyDescent="0.3">
      <c r="A454" s="16">
        <v>453</v>
      </c>
      <c r="B454" s="1" t="s">
        <v>99</v>
      </c>
      <c r="C454" s="1" t="s">
        <v>36</v>
      </c>
      <c r="D454" s="1" t="s">
        <v>13</v>
      </c>
      <c r="E454" s="1" t="s">
        <v>56</v>
      </c>
      <c r="F454" s="1" t="s">
        <v>47</v>
      </c>
      <c r="G454" s="1" t="s">
        <v>57</v>
      </c>
      <c r="H454" s="1" t="s">
        <v>44</v>
      </c>
      <c r="I454" s="1" t="s">
        <v>45</v>
      </c>
      <c r="J454" s="5">
        <v>2023</v>
      </c>
      <c r="K454" s="1">
        <v>9889.16</v>
      </c>
      <c r="L454" s="1">
        <v>662667</v>
      </c>
      <c r="M454" s="1">
        <v>12123</v>
      </c>
      <c r="N454" s="1">
        <v>1366</v>
      </c>
      <c r="O454" s="1">
        <v>7854.34</v>
      </c>
      <c r="P454" s="8">
        <f t="shared" si="35"/>
        <v>1.8294256391219117</v>
      </c>
      <c r="Q454" s="10">
        <f t="shared" si="36"/>
        <v>0.64788748659572715</v>
      </c>
      <c r="R454" s="12">
        <f t="shared" si="37"/>
        <v>5.7498828696925335</v>
      </c>
      <c r="S454" s="2">
        <f t="shared" si="38"/>
        <v>1.2590695080681509</v>
      </c>
      <c r="T454" s="18" t="str">
        <f t="shared" si="39"/>
        <v>🟡 Mid</v>
      </c>
    </row>
    <row r="455" spans="1:20" x14ac:dyDescent="0.3">
      <c r="A455" s="17">
        <v>454</v>
      </c>
      <c r="B455" s="3" t="s">
        <v>51</v>
      </c>
      <c r="C455" s="3" t="s">
        <v>40</v>
      </c>
      <c r="D455" s="3" t="s">
        <v>29</v>
      </c>
      <c r="E455" s="3" t="s">
        <v>23</v>
      </c>
      <c r="F455" s="3" t="s">
        <v>31</v>
      </c>
      <c r="G455" s="3" t="s">
        <v>43</v>
      </c>
      <c r="H455" s="3" t="s">
        <v>81</v>
      </c>
      <c r="I455" s="3" t="s">
        <v>34</v>
      </c>
      <c r="J455" s="6">
        <v>2023</v>
      </c>
      <c r="K455" s="3">
        <v>4561.12</v>
      </c>
      <c r="L455" s="3">
        <v>723791</v>
      </c>
      <c r="M455" s="3">
        <v>13355</v>
      </c>
      <c r="N455" s="3">
        <v>266</v>
      </c>
      <c r="O455" s="3">
        <v>4491.78</v>
      </c>
      <c r="P455" s="9">
        <f t="shared" si="35"/>
        <v>1.8451459053787627</v>
      </c>
      <c r="Q455" s="11">
        <f t="shared" si="36"/>
        <v>0.33633695245226503</v>
      </c>
      <c r="R455" s="13">
        <f t="shared" si="37"/>
        <v>16.886390977443607</v>
      </c>
      <c r="S455" s="4">
        <f t="shared" si="38"/>
        <v>1.0154370873016934</v>
      </c>
      <c r="T455" s="19" t="str">
        <f t="shared" si="39"/>
        <v>🟡 Mid</v>
      </c>
    </row>
    <row r="456" spans="1:20" x14ac:dyDescent="0.3">
      <c r="A456" s="16">
        <v>455</v>
      </c>
      <c r="B456" s="1" t="s">
        <v>85</v>
      </c>
      <c r="C456" s="1" t="s">
        <v>40</v>
      </c>
      <c r="D456" s="1" t="s">
        <v>46</v>
      </c>
      <c r="E456" s="1" t="s">
        <v>23</v>
      </c>
      <c r="F456" s="1" t="s">
        <v>24</v>
      </c>
      <c r="G456" s="1" t="s">
        <v>43</v>
      </c>
      <c r="H456" s="1" t="s">
        <v>33</v>
      </c>
      <c r="I456" s="1" t="s">
        <v>34</v>
      </c>
      <c r="J456" s="5">
        <v>2023</v>
      </c>
      <c r="K456" s="1">
        <v>11634.14</v>
      </c>
      <c r="L456" s="1">
        <v>413489</v>
      </c>
      <c r="M456" s="1">
        <v>7010</v>
      </c>
      <c r="N456" s="1">
        <v>609</v>
      </c>
      <c r="O456" s="1">
        <v>8486.85</v>
      </c>
      <c r="P456" s="8">
        <f t="shared" si="35"/>
        <v>1.6953292590613049</v>
      </c>
      <c r="Q456" s="10">
        <f t="shared" si="36"/>
        <v>1.2106776034236806</v>
      </c>
      <c r="R456" s="12">
        <f t="shared" si="37"/>
        <v>13.935714285714287</v>
      </c>
      <c r="S456" s="2">
        <f t="shared" si="38"/>
        <v>1.3708431278978654</v>
      </c>
      <c r="T456" s="18" t="str">
        <f t="shared" si="39"/>
        <v>🟡 Mid</v>
      </c>
    </row>
    <row r="457" spans="1:20" x14ac:dyDescent="0.3">
      <c r="A457" s="17">
        <v>456</v>
      </c>
      <c r="B457" s="3" t="s">
        <v>60</v>
      </c>
      <c r="C457" s="3" t="s">
        <v>40</v>
      </c>
      <c r="D457" s="3" t="s">
        <v>13</v>
      </c>
      <c r="E457" s="3" t="s">
        <v>56</v>
      </c>
      <c r="F457" s="3" t="s">
        <v>24</v>
      </c>
      <c r="G457" s="3" t="s">
        <v>50</v>
      </c>
      <c r="H457" s="3" t="s">
        <v>83</v>
      </c>
      <c r="I457" s="3" t="s">
        <v>38</v>
      </c>
      <c r="J457" s="6">
        <v>2024</v>
      </c>
      <c r="K457" s="3">
        <v>9312.17</v>
      </c>
      <c r="L457" s="3">
        <v>322329</v>
      </c>
      <c r="M457" s="3">
        <v>5899</v>
      </c>
      <c r="N457" s="3">
        <v>384</v>
      </c>
      <c r="O457" s="3">
        <v>6769.7</v>
      </c>
      <c r="P457" s="9">
        <f t="shared" si="35"/>
        <v>1.8301176747981101</v>
      </c>
      <c r="Q457" s="11">
        <f t="shared" si="36"/>
        <v>1.1476012883539584</v>
      </c>
      <c r="R457" s="13">
        <f t="shared" si="37"/>
        <v>17.629427083333333</v>
      </c>
      <c r="S457" s="4">
        <f t="shared" si="38"/>
        <v>1.375566125529935</v>
      </c>
      <c r="T457" s="19" t="str">
        <f t="shared" si="39"/>
        <v>🟡 Mid</v>
      </c>
    </row>
    <row r="458" spans="1:20" x14ac:dyDescent="0.3">
      <c r="A458" s="16">
        <v>457</v>
      </c>
      <c r="B458" s="1" t="s">
        <v>99</v>
      </c>
      <c r="C458" s="1" t="s">
        <v>36</v>
      </c>
      <c r="D458" s="1" t="s">
        <v>22</v>
      </c>
      <c r="E458" s="1" t="s">
        <v>30</v>
      </c>
      <c r="F458" s="1" t="s">
        <v>24</v>
      </c>
      <c r="G458" s="1" t="s">
        <v>50</v>
      </c>
      <c r="H458" s="1" t="s">
        <v>81</v>
      </c>
      <c r="I458" s="1" t="s">
        <v>34</v>
      </c>
      <c r="J458" s="5">
        <v>2023</v>
      </c>
      <c r="K458" s="1">
        <v>16080.99</v>
      </c>
      <c r="L458" s="1">
        <v>529344</v>
      </c>
      <c r="M458" s="1">
        <v>16189</v>
      </c>
      <c r="N458" s="1">
        <v>198</v>
      </c>
      <c r="O458" s="1">
        <v>15550.79</v>
      </c>
      <c r="P458" s="8">
        <f t="shared" si="35"/>
        <v>3.0583136863740781</v>
      </c>
      <c r="Q458" s="10">
        <f t="shared" si="36"/>
        <v>0.96057755265921307</v>
      </c>
      <c r="R458" s="12">
        <f t="shared" si="37"/>
        <v>78.539343434343436</v>
      </c>
      <c r="S458" s="2">
        <f t="shared" si="38"/>
        <v>1.0340947308786241</v>
      </c>
      <c r="T458" s="18" t="str">
        <f t="shared" si="39"/>
        <v>🟢 High</v>
      </c>
    </row>
    <row r="459" spans="1:20" x14ac:dyDescent="0.3">
      <c r="A459" s="17">
        <v>458</v>
      </c>
      <c r="B459" s="3" t="s">
        <v>100</v>
      </c>
      <c r="C459" s="3" t="s">
        <v>40</v>
      </c>
      <c r="D459" s="3" t="s">
        <v>46</v>
      </c>
      <c r="E459" s="3" t="s">
        <v>42</v>
      </c>
      <c r="F459" s="3" t="s">
        <v>31</v>
      </c>
      <c r="G459" s="3" t="s">
        <v>25</v>
      </c>
      <c r="H459" s="3" t="s">
        <v>83</v>
      </c>
      <c r="I459" s="3" t="s">
        <v>38</v>
      </c>
      <c r="J459" s="6">
        <v>2023</v>
      </c>
      <c r="K459" s="3">
        <v>9457.68</v>
      </c>
      <c r="L459" s="3">
        <v>753344</v>
      </c>
      <c r="M459" s="3">
        <v>14882</v>
      </c>
      <c r="N459" s="3">
        <v>1367</v>
      </c>
      <c r="O459" s="3">
        <v>6134.73</v>
      </c>
      <c r="P459" s="9">
        <f t="shared" si="35"/>
        <v>1.9754587545663072</v>
      </c>
      <c r="Q459" s="11">
        <f t="shared" si="36"/>
        <v>0.41222483537158983</v>
      </c>
      <c r="R459" s="13">
        <f t="shared" si="37"/>
        <v>4.4877322604242869</v>
      </c>
      <c r="S459" s="4">
        <f t="shared" si="38"/>
        <v>1.5416619802338491</v>
      </c>
      <c r="T459" s="19" t="str">
        <f t="shared" si="39"/>
        <v>🟡 Mid</v>
      </c>
    </row>
    <row r="460" spans="1:20" x14ac:dyDescent="0.3">
      <c r="A460" s="16">
        <v>459</v>
      </c>
      <c r="B460" s="1" t="s">
        <v>51</v>
      </c>
      <c r="C460" s="1" t="s">
        <v>40</v>
      </c>
      <c r="D460" s="1" t="s">
        <v>29</v>
      </c>
      <c r="E460" s="1" t="s">
        <v>42</v>
      </c>
      <c r="F460" s="1" t="s">
        <v>47</v>
      </c>
      <c r="G460" s="1" t="s">
        <v>50</v>
      </c>
      <c r="H460" s="1" t="s">
        <v>68</v>
      </c>
      <c r="I460" s="1" t="s">
        <v>27</v>
      </c>
      <c r="J460" s="5">
        <v>2023</v>
      </c>
      <c r="K460" s="1">
        <v>10651.27</v>
      </c>
      <c r="L460" s="1">
        <v>695995</v>
      </c>
      <c r="M460" s="1">
        <v>11115</v>
      </c>
      <c r="N460" s="1">
        <v>364</v>
      </c>
      <c r="O460" s="1">
        <v>9248.68</v>
      </c>
      <c r="P460" s="8">
        <f t="shared" si="35"/>
        <v>1.5969942312803971</v>
      </c>
      <c r="Q460" s="10">
        <f t="shared" si="36"/>
        <v>0.83208996851102113</v>
      </c>
      <c r="R460" s="12">
        <f t="shared" si="37"/>
        <v>25.408461538461538</v>
      </c>
      <c r="S460" s="2">
        <f t="shared" si="38"/>
        <v>1.1516529926432746</v>
      </c>
      <c r="T460" s="18" t="str">
        <f t="shared" si="39"/>
        <v>🟡 Mid</v>
      </c>
    </row>
    <row r="461" spans="1:20" x14ac:dyDescent="0.3">
      <c r="A461" s="17">
        <v>460</v>
      </c>
      <c r="B461" s="3" t="s">
        <v>72</v>
      </c>
      <c r="C461" s="3" t="s">
        <v>36</v>
      </c>
      <c r="D461" s="3" t="s">
        <v>46</v>
      </c>
      <c r="E461" s="3" t="s">
        <v>30</v>
      </c>
      <c r="F461" s="3" t="s">
        <v>47</v>
      </c>
      <c r="G461" s="3" t="s">
        <v>43</v>
      </c>
      <c r="H461" s="3" t="s">
        <v>81</v>
      </c>
      <c r="I461" s="3" t="s">
        <v>34</v>
      </c>
      <c r="J461" s="6">
        <v>2024</v>
      </c>
      <c r="K461" s="3">
        <v>15569.35</v>
      </c>
      <c r="L461" s="3">
        <v>708724</v>
      </c>
      <c r="M461" s="3">
        <v>19088</v>
      </c>
      <c r="N461" s="3">
        <v>898</v>
      </c>
      <c r="O461" s="3">
        <v>10318.040000000001</v>
      </c>
      <c r="P461" s="9">
        <f t="shared" si="35"/>
        <v>2.6932910413644802</v>
      </c>
      <c r="Q461" s="11">
        <f t="shared" si="36"/>
        <v>0.54055113160100587</v>
      </c>
      <c r="R461" s="13">
        <f t="shared" si="37"/>
        <v>11.490022271714922</v>
      </c>
      <c r="S461" s="4">
        <f t="shared" si="38"/>
        <v>1.5089445282243525</v>
      </c>
      <c r="T461" s="19" t="str">
        <f t="shared" si="39"/>
        <v>🟡 Mid</v>
      </c>
    </row>
    <row r="462" spans="1:20" x14ac:dyDescent="0.3">
      <c r="A462" s="16">
        <v>461</v>
      </c>
      <c r="B462" s="1" t="s">
        <v>85</v>
      </c>
      <c r="C462" s="1" t="s">
        <v>40</v>
      </c>
      <c r="D462" s="1" t="s">
        <v>22</v>
      </c>
      <c r="E462" s="1" t="s">
        <v>61</v>
      </c>
      <c r="F462" s="1" t="s">
        <v>31</v>
      </c>
      <c r="G462" s="1" t="s">
        <v>32</v>
      </c>
      <c r="H462" s="1" t="s">
        <v>58</v>
      </c>
      <c r="I462" s="1" t="s">
        <v>27</v>
      </c>
      <c r="J462" s="5">
        <v>2023</v>
      </c>
      <c r="K462" s="1">
        <v>11079.31</v>
      </c>
      <c r="L462" s="1">
        <v>581051</v>
      </c>
      <c r="M462" s="1">
        <v>8627</v>
      </c>
      <c r="N462" s="1">
        <v>134</v>
      </c>
      <c r="O462" s="1">
        <v>7965.72</v>
      </c>
      <c r="P462" s="8">
        <f t="shared" si="35"/>
        <v>1.4847233719587438</v>
      </c>
      <c r="Q462" s="10">
        <f t="shared" si="36"/>
        <v>0.92334762953518024</v>
      </c>
      <c r="R462" s="12">
        <f t="shared" si="37"/>
        <v>59.445671641791044</v>
      </c>
      <c r="S462" s="2">
        <f t="shared" si="38"/>
        <v>1.3908736435626659</v>
      </c>
      <c r="T462" s="18" t="str">
        <f t="shared" si="39"/>
        <v>🔴 Low</v>
      </c>
    </row>
    <row r="463" spans="1:20" x14ac:dyDescent="0.3">
      <c r="A463" s="17">
        <v>462</v>
      </c>
      <c r="B463" s="3" t="s">
        <v>65</v>
      </c>
      <c r="C463" s="3" t="s">
        <v>36</v>
      </c>
      <c r="D463" s="3" t="s">
        <v>22</v>
      </c>
      <c r="E463" s="3" t="s">
        <v>23</v>
      </c>
      <c r="F463" s="3" t="s">
        <v>31</v>
      </c>
      <c r="G463" s="3" t="s">
        <v>43</v>
      </c>
      <c r="H463" s="3" t="s">
        <v>81</v>
      </c>
      <c r="I463" s="3" t="s">
        <v>34</v>
      </c>
      <c r="J463" s="6">
        <v>2024</v>
      </c>
      <c r="K463" s="3">
        <v>1489.16</v>
      </c>
      <c r="L463" s="3">
        <v>35401</v>
      </c>
      <c r="M463" s="3">
        <v>1080</v>
      </c>
      <c r="N463" s="3">
        <v>13</v>
      </c>
      <c r="O463" s="3">
        <v>1315.98</v>
      </c>
      <c r="P463" s="9">
        <f t="shared" si="35"/>
        <v>3.0507612779300022</v>
      </c>
      <c r="Q463" s="11">
        <f t="shared" si="36"/>
        <v>1.2184999999999999</v>
      </c>
      <c r="R463" s="13">
        <f t="shared" si="37"/>
        <v>101.22923076923077</v>
      </c>
      <c r="S463" s="4">
        <f t="shared" si="38"/>
        <v>1.1315977446465753</v>
      </c>
      <c r="T463" s="19" t="str">
        <f t="shared" si="39"/>
        <v>🟢 High</v>
      </c>
    </row>
    <row r="464" spans="1:20" x14ac:dyDescent="0.3">
      <c r="A464" s="16">
        <v>463</v>
      </c>
      <c r="B464" s="1" t="s">
        <v>75</v>
      </c>
      <c r="C464" s="1" t="s">
        <v>36</v>
      </c>
      <c r="D464" s="1" t="s">
        <v>22</v>
      </c>
      <c r="E464" s="1" t="s">
        <v>42</v>
      </c>
      <c r="F464" s="1" t="s">
        <v>47</v>
      </c>
      <c r="G464" s="1" t="s">
        <v>50</v>
      </c>
      <c r="H464" s="1" t="s">
        <v>26</v>
      </c>
      <c r="I464" s="1" t="s">
        <v>27</v>
      </c>
      <c r="J464" s="5">
        <v>2024</v>
      </c>
      <c r="K464" s="1">
        <v>12518.15</v>
      </c>
      <c r="L464" s="1">
        <v>332617</v>
      </c>
      <c r="M464" s="1">
        <v>8766</v>
      </c>
      <c r="N464" s="1">
        <v>143</v>
      </c>
      <c r="O464" s="1">
        <v>11765.88</v>
      </c>
      <c r="P464" s="8">
        <f t="shared" si="35"/>
        <v>2.6354636113006853</v>
      </c>
      <c r="Q464" s="10">
        <f t="shared" si="36"/>
        <v>1.342217659137577</v>
      </c>
      <c r="R464" s="12">
        <f t="shared" si="37"/>
        <v>82.278881118881117</v>
      </c>
      <c r="S464" s="2">
        <f t="shared" si="38"/>
        <v>1.0639365691304008</v>
      </c>
      <c r="T464" s="18" t="str">
        <f t="shared" si="39"/>
        <v>🟡 Mid</v>
      </c>
    </row>
    <row r="465" spans="1:20" x14ac:dyDescent="0.3">
      <c r="A465" s="17">
        <v>464</v>
      </c>
      <c r="B465" s="3" t="s">
        <v>86</v>
      </c>
      <c r="C465" s="3" t="s">
        <v>36</v>
      </c>
      <c r="D465" s="3" t="s">
        <v>29</v>
      </c>
      <c r="E465" s="3" t="s">
        <v>30</v>
      </c>
      <c r="F465" s="3" t="s">
        <v>24</v>
      </c>
      <c r="G465" s="3" t="s">
        <v>50</v>
      </c>
      <c r="H465" s="3" t="s">
        <v>58</v>
      </c>
      <c r="I465" s="3" t="s">
        <v>27</v>
      </c>
      <c r="J465" s="6">
        <v>2024</v>
      </c>
      <c r="K465" s="3">
        <v>6552.64</v>
      </c>
      <c r="L465" s="3">
        <v>680721</v>
      </c>
      <c r="M465" s="3">
        <v>21026</v>
      </c>
      <c r="N465" s="3">
        <v>658</v>
      </c>
      <c r="O465" s="3">
        <v>5212.41</v>
      </c>
      <c r="P465" s="9">
        <f t="shared" si="35"/>
        <v>3.088783804231102</v>
      </c>
      <c r="Q465" s="11">
        <f t="shared" si="36"/>
        <v>0.247903072386569</v>
      </c>
      <c r="R465" s="13">
        <f t="shared" si="37"/>
        <v>7.9215957446808511</v>
      </c>
      <c r="S465" s="4">
        <f t="shared" si="38"/>
        <v>1.2571229047599863</v>
      </c>
      <c r="T465" s="19" t="str">
        <f t="shared" si="39"/>
        <v>🟢 High</v>
      </c>
    </row>
    <row r="466" spans="1:20" x14ac:dyDescent="0.3">
      <c r="A466" s="16">
        <v>465</v>
      </c>
      <c r="B466" s="1" t="s">
        <v>93</v>
      </c>
      <c r="C466" s="1" t="s">
        <v>36</v>
      </c>
      <c r="D466" s="1" t="s">
        <v>46</v>
      </c>
      <c r="E466" s="1" t="s">
        <v>61</v>
      </c>
      <c r="F466" s="1" t="s">
        <v>47</v>
      </c>
      <c r="G466" s="1" t="s">
        <v>43</v>
      </c>
      <c r="H466" s="1" t="s">
        <v>33</v>
      </c>
      <c r="I466" s="1" t="s">
        <v>34</v>
      </c>
      <c r="J466" s="5">
        <v>2023</v>
      </c>
      <c r="K466" s="1">
        <v>14142.49</v>
      </c>
      <c r="L466" s="1">
        <v>702492</v>
      </c>
      <c r="M466" s="1">
        <v>16296</v>
      </c>
      <c r="N466" s="1">
        <v>969</v>
      </c>
      <c r="O466" s="1">
        <v>11381.21</v>
      </c>
      <c r="P466" s="8">
        <f t="shared" si="35"/>
        <v>2.3197417194786558</v>
      </c>
      <c r="Q466" s="10">
        <f t="shared" si="36"/>
        <v>0.69840513009327432</v>
      </c>
      <c r="R466" s="12">
        <f t="shared" si="37"/>
        <v>11.745314757481939</v>
      </c>
      <c r="S466" s="2">
        <f t="shared" si="38"/>
        <v>1.2426174369860499</v>
      </c>
      <c r="T466" s="18" t="str">
        <f t="shared" si="39"/>
        <v>🟡 Mid</v>
      </c>
    </row>
    <row r="467" spans="1:20" x14ac:dyDescent="0.3">
      <c r="A467" s="17">
        <v>466</v>
      </c>
      <c r="B467" s="3" t="s">
        <v>86</v>
      </c>
      <c r="C467" s="3" t="s">
        <v>36</v>
      </c>
      <c r="D467" s="3" t="s">
        <v>22</v>
      </c>
      <c r="E467" s="3" t="s">
        <v>23</v>
      </c>
      <c r="F467" s="3" t="s">
        <v>47</v>
      </c>
      <c r="G467" s="3" t="s">
        <v>50</v>
      </c>
      <c r="H467" s="3" t="s">
        <v>26</v>
      </c>
      <c r="I467" s="3" t="s">
        <v>27</v>
      </c>
      <c r="J467" s="6">
        <v>2024</v>
      </c>
      <c r="K467" s="3">
        <v>15474.86</v>
      </c>
      <c r="L467" s="3">
        <v>638801</v>
      </c>
      <c r="M467" s="3">
        <v>23438</v>
      </c>
      <c r="N467" s="3">
        <v>319</v>
      </c>
      <c r="O467" s="3">
        <v>12586.3</v>
      </c>
      <c r="P467" s="9">
        <f t="shared" si="35"/>
        <v>3.6690612569485643</v>
      </c>
      <c r="Q467" s="11">
        <f t="shared" si="36"/>
        <v>0.53700401058110758</v>
      </c>
      <c r="R467" s="13">
        <f t="shared" si="37"/>
        <v>39.455485893416927</v>
      </c>
      <c r="S467" s="4">
        <f t="shared" si="38"/>
        <v>1.2295003297235885</v>
      </c>
      <c r="T467" s="19" t="str">
        <f t="shared" si="39"/>
        <v>🟢 High</v>
      </c>
    </row>
    <row r="468" spans="1:20" x14ac:dyDescent="0.3">
      <c r="A468" s="16">
        <v>467</v>
      </c>
      <c r="B468" s="1" t="s">
        <v>39</v>
      </c>
      <c r="C468" s="1" t="s">
        <v>40</v>
      </c>
      <c r="D468" s="1" t="s">
        <v>13</v>
      </c>
      <c r="E468" s="1" t="s">
        <v>61</v>
      </c>
      <c r="F468" s="1" t="s">
        <v>31</v>
      </c>
      <c r="G468" s="1" t="s">
        <v>57</v>
      </c>
      <c r="H468" s="1" t="s">
        <v>52</v>
      </c>
      <c r="I468" s="1" t="s">
        <v>38</v>
      </c>
      <c r="J468" s="5">
        <v>2024</v>
      </c>
      <c r="K468" s="1">
        <v>8315.92</v>
      </c>
      <c r="L468" s="1">
        <v>438525</v>
      </c>
      <c r="M468" s="1">
        <v>7133</v>
      </c>
      <c r="N468" s="1">
        <v>436</v>
      </c>
      <c r="O468" s="1">
        <v>6674.34</v>
      </c>
      <c r="P468" s="8">
        <f t="shared" si="35"/>
        <v>1.6265891340288468</v>
      </c>
      <c r="Q468" s="10">
        <f t="shared" si="36"/>
        <v>0.9356988644329175</v>
      </c>
      <c r="R468" s="12">
        <f t="shared" si="37"/>
        <v>15.308119266055046</v>
      </c>
      <c r="S468" s="2">
        <f t="shared" si="38"/>
        <v>1.2459539070529819</v>
      </c>
      <c r="T468" s="18" t="str">
        <f t="shared" si="39"/>
        <v>🟡 Mid</v>
      </c>
    </row>
    <row r="469" spans="1:20" x14ac:dyDescent="0.3">
      <c r="A469" s="17">
        <v>468</v>
      </c>
      <c r="B469" s="3" t="s">
        <v>72</v>
      </c>
      <c r="C469" s="3" t="s">
        <v>36</v>
      </c>
      <c r="D469" s="3" t="s">
        <v>46</v>
      </c>
      <c r="E469" s="3" t="s">
        <v>61</v>
      </c>
      <c r="F469" s="3" t="s">
        <v>47</v>
      </c>
      <c r="G469" s="3" t="s">
        <v>50</v>
      </c>
      <c r="H469" s="3" t="s">
        <v>79</v>
      </c>
      <c r="I469" s="3" t="s">
        <v>45</v>
      </c>
      <c r="J469" s="6">
        <v>2024</v>
      </c>
      <c r="K469" s="3">
        <v>11118.27</v>
      </c>
      <c r="L469" s="3">
        <v>252625</v>
      </c>
      <c r="M469" s="3">
        <v>8015</v>
      </c>
      <c r="N469" s="3">
        <v>403</v>
      </c>
      <c r="O469" s="3">
        <v>9797.7999999999993</v>
      </c>
      <c r="P469" s="9">
        <f t="shared" si="35"/>
        <v>3.172686788718456</v>
      </c>
      <c r="Q469" s="11">
        <f t="shared" si="36"/>
        <v>1.2224329382407984</v>
      </c>
      <c r="R469" s="13">
        <f t="shared" si="37"/>
        <v>24.312158808932999</v>
      </c>
      <c r="S469" s="4">
        <f t="shared" si="38"/>
        <v>1.1347720916940538</v>
      </c>
      <c r="T469" s="19" t="str">
        <f t="shared" si="39"/>
        <v>🟢 High</v>
      </c>
    </row>
    <row r="470" spans="1:20" x14ac:dyDescent="0.3">
      <c r="A470" s="16">
        <v>469</v>
      </c>
      <c r="B470" s="1" t="s">
        <v>74</v>
      </c>
      <c r="C470" s="1" t="s">
        <v>21</v>
      </c>
      <c r="D470" s="1" t="s">
        <v>22</v>
      </c>
      <c r="E470" s="1" t="s">
        <v>61</v>
      </c>
      <c r="F470" s="1" t="s">
        <v>31</v>
      </c>
      <c r="G470" s="1" t="s">
        <v>50</v>
      </c>
      <c r="H470" s="1" t="s">
        <v>37</v>
      </c>
      <c r="I470" s="1" t="s">
        <v>38</v>
      </c>
      <c r="J470" s="5">
        <v>2023</v>
      </c>
      <c r="K470" s="1">
        <v>16529.45</v>
      </c>
      <c r="L470" s="1">
        <v>189731</v>
      </c>
      <c r="M470" s="1">
        <v>982</v>
      </c>
      <c r="N470" s="1">
        <v>13</v>
      </c>
      <c r="O470" s="1">
        <v>14676.72</v>
      </c>
      <c r="P470" s="8">
        <f t="shared" si="35"/>
        <v>0.51757488233340887</v>
      </c>
      <c r="Q470" s="10">
        <f t="shared" si="36"/>
        <v>14.945743380855397</v>
      </c>
      <c r="R470" s="12">
        <f t="shared" si="37"/>
        <v>1128.9784615384615</v>
      </c>
      <c r="S470" s="2">
        <f t="shared" si="38"/>
        <v>1.1262359709798921</v>
      </c>
      <c r="T470" s="18" t="str">
        <f t="shared" si="39"/>
        <v>🔴 Low</v>
      </c>
    </row>
    <row r="471" spans="1:20" x14ac:dyDescent="0.3">
      <c r="A471" s="17">
        <v>470</v>
      </c>
      <c r="B471" s="3" t="s">
        <v>90</v>
      </c>
      <c r="C471" s="3" t="s">
        <v>21</v>
      </c>
      <c r="D471" s="3" t="s">
        <v>13</v>
      </c>
      <c r="E471" s="3" t="s">
        <v>56</v>
      </c>
      <c r="F471" s="3" t="s">
        <v>31</v>
      </c>
      <c r="G471" s="3" t="s">
        <v>57</v>
      </c>
      <c r="H471" s="3" t="s">
        <v>58</v>
      </c>
      <c r="I471" s="3" t="s">
        <v>27</v>
      </c>
      <c r="J471" s="6">
        <v>2023</v>
      </c>
      <c r="K471" s="3">
        <v>16432.16</v>
      </c>
      <c r="L471" s="3">
        <v>613979</v>
      </c>
      <c r="M471" s="3">
        <v>7224</v>
      </c>
      <c r="N471" s="3">
        <v>817</v>
      </c>
      <c r="O471" s="3">
        <v>14249.57</v>
      </c>
      <c r="P471" s="9">
        <f t="shared" si="35"/>
        <v>1.1765874728614496</v>
      </c>
      <c r="Q471" s="11">
        <f t="shared" si="36"/>
        <v>1.9725318383167221</v>
      </c>
      <c r="R471" s="13">
        <f t="shared" si="37"/>
        <v>17.441334149326806</v>
      </c>
      <c r="S471" s="4">
        <f t="shared" si="38"/>
        <v>1.1531688324630147</v>
      </c>
      <c r="T471" s="19" t="str">
        <f t="shared" si="39"/>
        <v>🔴 Low</v>
      </c>
    </row>
    <row r="472" spans="1:20" x14ac:dyDescent="0.3">
      <c r="A472" s="16">
        <v>471</v>
      </c>
      <c r="B472" s="1" t="s">
        <v>65</v>
      </c>
      <c r="C472" s="1" t="s">
        <v>36</v>
      </c>
      <c r="D472" s="1" t="s">
        <v>46</v>
      </c>
      <c r="E472" s="1" t="s">
        <v>56</v>
      </c>
      <c r="F472" s="1" t="s">
        <v>31</v>
      </c>
      <c r="G472" s="1" t="s">
        <v>43</v>
      </c>
      <c r="H472" s="1" t="s">
        <v>33</v>
      </c>
      <c r="I472" s="1" t="s">
        <v>34</v>
      </c>
      <c r="J472" s="5">
        <v>2024</v>
      </c>
      <c r="K472" s="1">
        <v>4315.5</v>
      </c>
      <c r="L472" s="1">
        <v>719622</v>
      </c>
      <c r="M472" s="1">
        <v>22329</v>
      </c>
      <c r="N472" s="1">
        <v>1957</v>
      </c>
      <c r="O472" s="1">
        <v>3821.01</v>
      </c>
      <c r="P472" s="8">
        <f t="shared" si="35"/>
        <v>3.1028790114810278</v>
      </c>
      <c r="Q472" s="10">
        <f t="shared" si="36"/>
        <v>0.17112320300953918</v>
      </c>
      <c r="R472" s="12">
        <f t="shared" si="37"/>
        <v>1.9524833929483905</v>
      </c>
      <c r="S472" s="2">
        <f t="shared" si="38"/>
        <v>1.1294134273398917</v>
      </c>
      <c r="T472" s="18" t="str">
        <f t="shared" si="39"/>
        <v>🟢 High</v>
      </c>
    </row>
    <row r="473" spans="1:20" x14ac:dyDescent="0.3">
      <c r="A473" s="17">
        <v>472</v>
      </c>
      <c r="B473" s="3" t="s">
        <v>96</v>
      </c>
      <c r="C473" s="3" t="s">
        <v>40</v>
      </c>
      <c r="D473" s="3" t="s">
        <v>22</v>
      </c>
      <c r="E473" s="3" t="s">
        <v>61</v>
      </c>
      <c r="F473" s="3" t="s">
        <v>24</v>
      </c>
      <c r="G473" s="3" t="s">
        <v>32</v>
      </c>
      <c r="H473" s="3" t="s">
        <v>81</v>
      </c>
      <c r="I473" s="3" t="s">
        <v>34</v>
      </c>
      <c r="J473" s="6">
        <v>2024</v>
      </c>
      <c r="K473" s="3">
        <v>17028.919999999998</v>
      </c>
      <c r="L473" s="3">
        <v>313474</v>
      </c>
      <c r="M473" s="3">
        <v>4094</v>
      </c>
      <c r="N473" s="3">
        <v>24</v>
      </c>
      <c r="O473" s="3">
        <v>16661.98</v>
      </c>
      <c r="P473" s="9">
        <f t="shared" si="35"/>
        <v>1.3060094298091707</v>
      </c>
      <c r="Q473" s="11">
        <f t="shared" si="36"/>
        <v>4.0698534440644849</v>
      </c>
      <c r="R473" s="13">
        <f t="shared" si="37"/>
        <v>694.24916666666661</v>
      </c>
      <c r="S473" s="4">
        <f t="shared" si="38"/>
        <v>1.0220225927530822</v>
      </c>
      <c r="T473" s="19" t="str">
        <f t="shared" si="39"/>
        <v>🔴 Low</v>
      </c>
    </row>
    <row r="474" spans="1:20" x14ac:dyDescent="0.3">
      <c r="A474" s="16">
        <v>473</v>
      </c>
      <c r="B474" s="1" t="s">
        <v>98</v>
      </c>
      <c r="C474" s="1" t="s">
        <v>36</v>
      </c>
      <c r="D474" s="1" t="s">
        <v>29</v>
      </c>
      <c r="E474" s="1" t="s">
        <v>23</v>
      </c>
      <c r="F474" s="1" t="s">
        <v>24</v>
      </c>
      <c r="G474" s="1" t="s">
        <v>43</v>
      </c>
      <c r="H474" s="1" t="s">
        <v>68</v>
      </c>
      <c r="I474" s="1" t="s">
        <v>27</v>
      </c>
      <c r="J474" s="5">
        <v>2023</v>
      </c>
      <c r="K474" s="1">
        <v>8918.4500000000007</v>
      </c>
      <c r="L474" s="1">
        <v>623831</v>
      </c>
      <c r="M474" s="1">
        <v>15318</v>
      </c>
      <c r="N474" s="1">
        <v>329</v>
      </c>
      <c r="O474" s="1">
        <v>6780.32</v>
      </c>
      <c r="P474" s="8">
        <f t="shared" si="35"/>
        <v>2.4554727161683214</v>
      </c>
      <c r="Q474" s="10">
        <f t="shared" si="36"/>
        <v>0.44263742002872436</v>
      </c>
      <c r="R474" s="12">
        <f t="shared" si="37"/>
        <v>20.60887537993921</v>
      </c>
      <c r="S474" s="2">
        <f t="shared" si="38"/>
        <v>1.3153435236095052</v>
      </c>
      <c r="T474" s="18" t="str">
        <f t="shared" si="39"/>
        <v>🟡 Mid</v>
      </c>
    </row>
    <row r="475" spans="1:20" x14ac:dyDescent="0.3">
      <c r="A475" s="17">
        <v>474</v>
      </c>
      <c r="B475" s="3" t="s">
        <v>63</v>
      </c>
      <c r="C475" s="3" t="s">
        <v>21</v>
      </c>
      <c r="D475" s="3" t="s">
        <v>46</v>
      </c>
      <c r="E475" s="3" t="s">
        <v>56</v>
      </c>
      <c r="F475" s="3" t="s">
        <v>24</v>
      </c>
      <c r="G475" s="3" t="s">
        <v>25</v>
      </c>
      <c r="H475" s="3" t="s">
        <v>81</v>
      </c>
      <c r="I475" s="3" t="s">
        <v>34</v>
      </c>
      <c r="J475" s="6">
        <v>2024</v>
      </c>
      <c r="K475" s="3">
        <v>16944.89</v>
      </c>
      <c r="L475" s="3">
        <v>382789</v>
      </c>
      <c r="M475" s="3">
        <v>3712</v>
      </c>
      <c r="N475" s="3">
        <v>335</v>
      </c>
      <c r="O475" s="3">
        <v>11264.83</v>
      </c>
      <c r="P475" s="9">
        <f t="shared" si="35"/>
        <v>0.9697248353531579</v>
      </c>
      <c r="Q475" s="11">
        <f t="shared" si="36"/>
        <v>3.0347063577586209</v>
      </c>
      <c r="R475" s="13">
        <f t="shared" si="37"/>
        <v>33.626358208955224</v>
      </c>
      <c r="S475" s="4">
        <f t="shared" si="38"/>
        <v>1.5042295356432365</v>
      </c>
      <c r="T475" s="19" t="str">
        <f t="shared" si="39"/>
        <v>🔴 Low</v>
      </c>
    </row>
    <row r="476" spans="1:20" x14ac:dyDescent="0.3">
      <c r="A476" s="16">
        <v>475</v>
      </c>
      <c r="B476" s="1" t="s">
        <v>49</v>
      </c>
      <c r="C476" s="1" t="s">
        <v>21</v>
      </c>
      <c r="D476" s="1" t="s">
        <v>46</v>
      </c>
      <c r="E476" s="1" t="s">
        <v>42</v>
      </c>
      <c r="F476" s="1" t="s">
        <v>24</v>
      </c>
      <c r="G476" s="1" t="s">
        <v>57</v>
      </c>
      <c r="H476" s="1" t="s">
        <v>26</v>
      </c>
      <c r="I476" s="1" t="s">
        <v>27</v>
      </c>
      <c r="J476" s="5">
        <v>2024</v>
      </c>
      <c r="K476" s="1">
        <v>13329.57</v>
      </c>
      <c r="L476" s="1">
        <v>147371</v>
      </c>
      <c r="M476" s="1">
        <v>1942</v>
      </c>
      <c r="N476" s="1">
        <v>126</v>
      </c>
      <c r="O476" s="1">
        <v>10550.78</v>
      </c>
      <c r="P476" s="8">
        <f t="shared" si="35"/>
        <v>1.3177626534392792</v>
      </c>
      <c r="Q476" s="10">
        <f t="shared" si="36"/>
        <v>5.4329454170957776</v>
      </c>
      <c r="R476" s="12">
        <f t="shared" si="37"/>
        <v>83.736349206349217</v>
      </c>
      <c r="S476" s="2">
        <f t="shared" si="38"/>
        <v>1.2633729449386679</v>
      </c>
      <c r="T476" s="18" t="str">
        <f t="shared" si="39"/>
        <v>🔴 Low</v>
      </c>
    </row>
    <row r="477" spans="1:20" x14ac:dyDescent="0.3">
      <c r="A477" s="17">
        <v>476</v>
      </c>
      <c r="B477" s="3" t="s">
        <v>76</v>
      </c>
      <c r="C477" s="3" t="s">
        <v>21</v>
      </c>
      <c r="D477" s="3" t="s">
        <v>29</v>
      </c>
      <c r="E477" s="3" t="s">
        <v>30</v>
      </c>
      <c r="F477" s="3" t="s">
        <v>47</v>
      </c>
      <c r="G477" s="3" t="s">
        <v>32</v>
      </c>
      <c r="H477" s="3" t="s">
        <v>33</v>
      </c>
      <c r="I477" s="3" t="s">
        <v>34</v>
      </c>
      <c r="J477" s="6">
        <v>2024</v>
      </c>
      <c r="K477" s="3">
        <v>8001.94</v>
      </c>
      <c r="L477" s="3">
        <v>241706</v>
      </c>
      <c r="M477" s="3">
        <v>2570</v>
      </c>
      <c r="N477" s="3">
        <v>40</v>
      </c>
      <c r="O477" s="3">
        <v>6833.02</v>
      </c>
      <c r="P477" s="9">
        <f t="shared" si="35"/>
        <v>1.0632752186540675</v>
      </c>
      <c r="Q477" s="11">
        <f t="shared" si="36"/>
        <v>2.6587626459143969</v>
      </c>
      <c r="R477" s="13">
        <f t="shared" si="37"/>
        <v>170.82550000000001</v>
      </c>
      <c r="S477" s="4">
        <f t="shared" si="38"/>
        <v>1.1710693075682492</v>
      </c>
      <c r="T477" s="19" t="str">
        <f t="shared" si="39"/>
        <v>🔴 Low</v>
      </c>
    </row>
    <row r="478" spans="1:20" x14ac:dyDescent="0.3">
      <c r="A478" s="16">
        <v>477</v>
      </c>
      <c r="B478" s="1" t="s">
        <v>53</v>
      </c>
      <c r="C478" s="1" t="s">
        <v>21</v>
      </c>
      <c r="D478" s="1" t="s">
        <v>46</v>
      </c>
      <c r="E478" s="1" t="s">
        <v>61</v>
      </c>
      <c r="F478" s="1" t="s">
        <v>47</v>
      </c>
      <c r="G478" s="1" t="s">
        <v>50</v>
      </c>
      <c r="H478" s="1" t="s">
        <v>81</v>
      </c>
      <c r="I478" s="1" t="s">
        <v>34</v>
      </c>
      <c r="J478" s="5">
        <v>2024</v>
      </c>
      <c r="K478" s="1">
        <v>1152.51</v>
      </c>
      <c r="L478" s="1">
        <v>44704</v>
      </c>
      <c r="M478" s="1">
        <v>22</v>
      </c>
      <c r="N478" s="1">
        <v>1</v>
      </c>
      <c r="O478" s="1">
        <v>924.59</v>
      </c>
      <c r="P478" s="8">
        <f t="shared" si="35"/>
        <v>4.9212598425196846E-2</v>
      </c>
      <c r="Q478" s="10">
        <f t="shared" si="36"/>
        <v>42.026818181818186</v>
      </c>
      <c r="R478" s="12">
        <f t="shared" si="37"/>
        <v>924.59</v>
      </c>
      <c r="S478" s="2">
        <f t="shared" si="38"/>
        <v>1.2465092635654722</v>
      </c>
      <c r="T478" s="18" t="str">
        <f t="shared" si="39"/>
        <v>🔴 Low</v>
      </c>
    </row>
    <row r="479" spans="1:20" x14ac:dyDescent="0.3">
      <c r="A479" s="17">
        <v>478</v>
      </c>
      <c r="B479" s="3" t="s">
        <v>20</v>
      </c>
      <c r="C479" s="3" t="s">
        <v>21</v>
      </c>
      <c r="D479" s="3" t="s">
        <v>46</v>
      </c>
      <c r="E479" s="3" t="s">
        <v>61</v>
      </c>
      <c r="F479" s="3" t="s">
        <v>47</v>
      </c>
      <c r="G479" s="3" t="s">
        <v>50</v>
      </c>
      <c r="H479" s="3" t="s">
        <v>81</v>
      </c>
      <c r="I479" s="3" t="s">
        <v>34</v>
      </c>
      <c r="J479" s="6">
        <v>2023</v>
      </c>
      <c r="K479" s="3">
        <v>10705.46</v>
      </c>
      <c r="L479" s="3">
        <v>644705</v>
      </c>
      <c r="M479" s="3">
        <v>2421</v>
      </c>
      <c r="N479" s="3">
        <v>109</v>
      </c>
      <c r="O479" s="3">
        <v>8547.56</v>
      </c>
      <c r="P479" s="9">
        <f t="shared" si="35"/>
        <v>0.37552058693510987</v>
      </c>
      <c r="Q479" s="11">
        <f t="shared" si="36"/>
        <v>3.5305906650144565</v>
      </c>
      <c r="R479" s="13">
        <f t="shared" si="37"/>
        <v>78.417981651376138</v>
      </c>
      <c r="S479" s="4">
        <f t="shared" si="38"/>
        <v>1.252458011409104</v>
      </c>
      <c r="T479" s="19" t="str">
        <f t="shared" si="39"/>
        <v>🔴 Low</v>
      </c>
    </row>
    <row r="480" spans="1:20" hidden="1" x14ac:dyDescent="0.3">
      <c r="A480" s="16">
        <v>479</v>
      </c>
      <c r="B480" s="1" t="s">
        <v>103</v>
      </c>
      <c r="C480" s="1" t="s">
        <v>21</v>
      </c>
      <c r="D480" s="1" t="s">
        <v>29</v>
      </c>
      <c r="E480" s="1" t="s">
        <v>61</v>
      </c>
      <c r="F480" s="1" t="s">
        <v>47</v>
      </c>
      <c r="G480" s="1" t="s">
        <v>32</v>
      </c>
      <c r="H480" s="1" t="s">
        <v>68</v>
      </c>
      <c r="I480" s="1" t="s">
        <v>27</v>
      </c>
      <c r="J480" s="5">
        <v>2024</v>
      </c>
      <c r="K480" s="1">
        <v>10933.15</v>
      </c>
      <c r="L480" s="1">
        <v>16307</v>
      </c>
      <c r="M480" s="1">
        <v>18</v>
      </c>
      <c r="N480" s="1">
        <v>0</v>
      </c>
      <c r="O480" s="1">
        <v>9929.51</v>
      </c>
      <c r="P480" s="8">
        <f t="shared" si="35"/>
        <v>0.11038204452075795</v>
      </c>
      <c r="Q480" s="10">
        <f t="shared" si="36"/>
        <v>551.63944444444451</v>
      </c>
      <c r="R480" s="12" t="str">
        <f t="shared" si="37"/>
        <v>-</v>
      </c>
      <c r="S480" s="2">
        <f t="shared" si="38"/>
        <v>1.1010764881650756</v>
      </c>
      <c r="T480" s="18" t="str">
        <f t="shared" si="39"/>
        <v>🔴 Low</v>
      </c>
    </row>
    <row r="481" spans="1:20" x14ac:dyDescent="0.3">
      <c r="A481" s="17">
        <v>480</v>
      </c>
      <c r="B481" s="3" t="s">
        <v>96</v>
      </c>
      <c r="C481" s="3" t="s">
        <v>40</v>
      </c>
      <c r="D481" s="3" t="s">
        <v>13</v>
      </c>
      <c r="E481" s="3" t="s">
        <v>23</v>
      </c>
      <c r="F481" s="3" t="s">
        <v>24</v>
      </c>
      <c r="G481" s="3" t="s">
        <v>57</v>
      </c>
      <c r="H481" s="3" t="s">
        <v>54</v>
      </c>
      <c r="I481" s="3" t="s">
        <v>45</v>
      </c>
      <c r="J481" s="6">
        <v>2024</v>
      </c>
      <c r="K481" s="3">
        <v>14675.95</v>
      </c>
      <c r="L481" s="3">
        <v>596088</v>
      </c>
      <c r="M481" s="3">
        <v>10231</v>
      </c>
      <c r="N481" s="3">
        <v>698</v>
      </c>
      <c r="O481" s="3">
        <v>12684.51</v>
      </c>
      <c r="P481" s="9">
        <f t="shared" si="35"/>
        <v>1.7163573163693953</v>
      </c>
      <c r="Q481" s="11">
        <f t="shared" si="36"/>
        <v>1.2398113576385494</v>
      </c>
      <c r="R481" s="13">
        <f t="shared" si="37"/>
        <v>18.172650429799429</v>
      </c>
      <c r="S481" s="4">
        <f t="shared" si="38"/>
        <v>1.1569977870646955</v>
      </c>
      <c r="T481" s="19" t="str">
        <f t="shared" si="39"/>
        <v>🟡 Mid</v>
      </c>
    </row>
    <row r="482" spans="1:20" x14ac:dyDescent="0.3">
      <c r="A482" s="16">
        <v>481</v>
      </c>
      <c r="B482" s="1" t="s">
        <v>69</v>
      </c>
      <c r="C482" s="1" t="s">
        <v>21</v>
      </c>
      <c r="D482" s="1" t="s">
        <v>29</v>
      </c>
      <c r="E482" s="1" t="s">
        <v>42</v>
      </c>
      <c r="F482" s="1" t="s">
        <v>31</v>
      </c>
      <c r="G482" s="1" t="s">
        <v>43</v>
      </c>
      <c r="H482" s="1" t="s">
        <v>54</v>
      </c>
      <c r="I482" s="1" t="s">
        <v>45</v>
      </c>
      <c r="J482" s="5">
        <v>2023</v>
      </c>
      <c r="K482" s="1">
        <v>6092.91</v>
      </c>
      <c r="L482" s="1">
        <v>91518</v>
      </c>
      <c r="M482" s="1">
        <v>768</v>
      </c>
      <c r="N482" s="1">
        <v>25</v>
      </c>
      <c r="O482" s="1">
        <v>4300.75</v>
      </c>
      <c r="P482" s="8">
        <f t="shared" si="35"/>
        <v>0.8391791778666492</v>
      </c>
      <c r="Q482" s="10">
        <f t="shared" si="36"/>
        <v>5.599934895833333</v>
      </c>
      <c r="R482" s="12">
        <f t="shared" si="37"/>
        <v>172.03</v>
      </c>
      <c r="S482" s="2">
        <f t="shared" si="38"/>
        <v>1.4167087135964658</v>
      </c>
      <c r="T482" s="18" t="str">
        <f t="shared" si="39"/>
        <v>🔴 Low</v>
      </c>
    </row>
    <row r="483" spans="1:20" x14ac:dyDescent="0.3">
      <c r="A483" s="17">
        <v>482</v>
      </c>
      <c r="B483" s="3" t="s">
        <v>73</v>
      </c>
      <c r="C483" s="3" t="s">
        <v>21</v>
      </c>
      <c r="D483" s="3" t="s">
        <v>13</v>
      </c>
      <c r="E483" s="3" t="s">
        <v>23</v>
      </c>
      <c r="F483" s="3" t="s">
        <v>24</v>
      </c>
      <c r="G483" s="3" t="s">
        <v>57</v>
      </c>
      <c r="H483" s="3" t="s">
        <v>79</v>
      </c>
      <c r="I483" s="3" t="s">
        <v>45</v>
      </c>
      <c r="J483" s="6">
        <v>2023</v>
      </c>
      <c r="K483" s="3">
        <v>18247.560000000001</v>
      </c>
      <c r="L483" s="3">
        <v>779863</v>
      </c>
      <c r="M483" s="3">
        <v>6574</v>
      </c>
      <c r="N483" s="3">
        <v>398</v>
      </c>
      <c r="O483" s="3">
        <v>14371.67</v>
      </c>
      <c r="P483" s="9">
        <f t="shared" si="35"/>
        <v>0.84296857268520242</v>
      </c>
      <c r="Q483" s="11">
        <f t="shared" si="36"/>
        <v>2.1861378156373594</v>
      </c>
      <c r="R483" s="13">
        <f t="shared" si="37"/>
        <v>36.109723618090456</v>
      </c>
      <c r="S483" s="4">
        <f t="shared" si="38"/>
        <v>1.2696896046179742</v>
      </c>
      <c r="T483" s="19" t="str">
        <f t="shared" si="39"/>
        <v>🔴 Low</v>
      </c>
    </row>
    <row r="484" spans="1:20" x14ac:dyDescent="0.3">
      <c r="A484" s="16">
        <v>483</v>
      </c>
      <c r="B484" s="1" t="s">
        <v>94</v>
      </c>
      <c r="C484" s="1" t="s">
        <v>36</v>
      </c>
      <c r="D484" s="1" t="s">
        <v>46</v>
      </c>
      <c r="E484" s="1" t="s">
        <v>56</v>
      </c>
      <c r="F484" s="1" t="s">
        <v>24</v>
      </c>
      <c r="G484" s="1" t="s">
        <v>32</v>
      </c>
      <c r="H484" s="1" t="s">
        <v>68</v>
      </c>
      <c r="I484" s="1" t="s">
        <v>27</v>
      </c>
      <c r="J484" s="5">
        <v>2024</v>
      </c>
      <c r="K484" s="1">
        <v>19689.400000000001</v>
      </c>
      <c r="L484" s="1">
        <v>157117</v>
      </c>
      <c r="M484" s="1">
        <v>3195</v>
      </c>
      <c r="N484" s="1">
        <v>288</v>
      </c>
      <c r="O484" s="1">
        <v>18038.64</v>
      </c>
      <c r="P484" s="8">
        <f t="shared" si="35"/>
        <v>2.0335164240661419</v>
      </c>
      <c r="Q484" s="10">
        <f t="shared" si="36"/>
        <v>5.6458967136150235</v>
      </c>
      <c r="R484" s="12">
        <f t="shared" si="37"/>
        <v>62.634166666666665</v>
      </c>
      <c r="S484" s="2">
        <f t="shared" si="38"/>
        <v>1.0915124421796767</v>
      </c>
      <c r="T484" s="18" t="str">
        <f t="shared" si="39"/>
        <v>🟡 Mid</v>
      </c>
    </row>
    <row r="485" spans="1:20" x14ac:dyDescent="0.3">
      <c r="A485" s="17">
        <v>484</v>
      </c>
      <c r="B485" s="3" t="s">
        <v>82</v>
      </c>
      <c r="C485" s="3" t="s">
        <v>40</v>
      </c>
      <c r="D485" s="3" t="s">
        <v>46</v>
      </c>
      <c r="E485" s="3" t="s">
        <v>56</v>
      </c>
      <c r="F485" s="3" t="s">
        <v>31</v>
      </c>
      <c r="G485" s="3" t="s">
        <v>25</v>
      </c>
      <c r="H485" s="3" t="s">
        <v>83</v>
      </c>
      <c r="I485" s="3" t="s">
        <v>38</v>
      </c>
      <c r="J485" s="6">
        <v>2024</v>
      </c>
      <c r="K485" s="3">
        <v>1559.35</v>
      </c>
      <c r="L485" s="3">
        <v>282238</v>
      </c>
      <c r="M485" s="3">
        <v>3035</v>
      </c>
      <c r="N485" s="3">
        <v>258</v>
      </c>
      <c r="O485" s="3">
        <v>1011.58</v>
      </c>
      <c r="P485" s="9">
        <f t="shared" si="35"/>
        <v>1.0753335837130364</v>
      </c>
      <c r="Q485" s="11">
        <f t="shared" si="36"/>
        <v>0.33330477759472821</v>
      </c>
      <c r="R485" s="13">
        <f t="shared" si="37"/>
        <v>3.9208527131782946</v>
      </c>
      <c r="S485" s="4">
        <f t="shared" si="38"/>
        <v>1.5414994365250398</v>
      </c>
      <c r="T485" s="19" t="str">
        <f t="shared" si="39"/>
        <v>🔴 Low</v>
      </c>
    </row>
    <row r="486" spans="1:20" x14ac:dyDescent="0.3">
      <c r="A486" s="16">
        <v>485</v>
      </c>
      <c r="B486" s="1" t="s">
        <v>89</v>
      </c>
      <c r="C486" s="1" t="s">
        <v>36</v>
      </c>
      <c r="D486" s="1" t="s">
        <v>41</v>
      </c>
      <c r="E486" s="1" t="s">
        <v>56</v>
      </c>
      <c r="F486" s="1" t="s">
        <v>47</v>
      </c>
      <c r="G486" s="1" t="s">
        <v>50</v>
      </c>
      <c r="H486" s="1" t="s">
        <v>54</v>
      </c>
      <c r="I486" s="1" t="s">
        <v>45</v>
      </c>
      <c r="J486" s="5">
        <v>2023</v>
      </c>
      <c r="K486" s="1">
        <v>7906.12</v>
      </c>
      <c r="L486" s="1">
        <v>744883</v>
      </c>
      <c r="M486" s="1">
        <v>18615</v>
      </c>
      <c r="N486" s="1">
        <v>1906</v>
      </c>
      <c r="O486" s="1">
        <v>6187.24</v>
      </c>
      <c r="P486" s="8">
        <f t="shared" si="35"/>
        <v>2.4990501864051136</v>
      </c>
      <c r="Q486" s="10">
        <f t="shared" si="36"/>
        <v>0.33237926403438084</v>
      </c>
      <c r="R486" s="12">
        <f t="shared" si="37"/>
        <v>3.2461909758656873</v>
      </c>
      <c r="S486" s="2">
        <f t="shared" si="38"/>
        <v>1.2778104615305048</v>
      </c>
      <c r="T486" s="18" t="str">
        <f t="shared" si="39"/>
        <v>🟡 Mid</v>
      </c>
    </row>
    <row r="487" spans="1:20" x14ac:dyDescent="0.3">
      <c r="A487" s="17">
        <v>486</v>
      </c>
      <c r="B487" s="3" t="s">
        <v>66</v>
      </c>
      <c r="C487" s="3" t="s">
        <v>40</v>
      </c>
      <c r="D487" s="3" t="s">
        <v>41</v>
      </c>
      <c r="E487" s="3" t="s">
        <v>23</v>
      </c>
      <c r="F487" s="3" t="s">
        <v>31</v>
      </c>
      <c r="G487" s="3" t="s">
        <v>57</v>
      </c>
      <c r="H487" s="3" t="s">
        <v>58</v>
      </c>
      <c r="I487" s="3" t="s">
        <v>27</v>
      </c>
      <c r="J487" s="6">
        <v>2024</v>
      </c>
      <c r="K487" s="3">
        <v>19145.580000000002</v>
      </c>
      <c r="L487" s="3">
        <v>457760</v>
      </c>
      <c r="M487" s="3">
        <v>8462</v>
      </c>
      <c r="N487" s="3">
        <v>920</v>
      </c>
      <c r="O487" s="3">
        <v>16730.7</v>
      </c>
      <c r="P487" s="9">
        <f t="shared" si="35"/>
        <v>1.8485669346382385</v>
      </c>
      <c r="Q487" s="11">
        <f t="shared" si="36"/>
        <v>1.9771567005436068</v>
      </c>
      <c r="R487" s="13">
        <f t="shared" si="37"/>
        <v>18.185543478260872</v>
      </c>
      <c r="S487" s="4">
        <f t="shared" si="38"/>
        <v>1.1443382524341481</v>
      </c>
      <c r="T487" s="19" t="str">
        <f t="shared" si="39"/>
        <v>🟡 Mid</v>
      </c>
    </row>
    <row r="488" spans="1:20" x14ac:dyDescent="0.3">
      <c r="A488" s="16">
        <v>487</v>
      </c>
      <c r="B488" s="1" t="s">
        <v>96</v>
      </c>
      <c r="C488" s="1" t="s">
        <v>40</v>
      </c>
      <c r="D488" s="1" t="s">
        <v>13</v>
      </c>
      <c r="E488" s="1" t="s">
        <v>23</v>
      </c>
      <c r="F488" s="1" t="s">
        <v>24</v>
      </c>
      <c r="G488" s="1" t="s">
        <v>43</v>
      </c>
      <c r="H488" s="1" t="s">
        <v>44</v>
      </c>
      <c r="I488" s="1" t="s">
        <v>45</v>
      </c>
      <c r="J488" s="5">
        <v>2024</v>
      </c>
      <c r="K488" s="1">
        <v>9491.6200000000008</v>
      </c>
      <c r="L488" s="1">
        <v>713094</v>
      </c>
      <c r="M488" s="1">
        <v>11376</v>
      </c>
      <c r="N488" s="1">
        <v>1037</v>
      </c>
      <c r="O488" s="1">
        <v>6472.04</v>
      </c>
      <c r="P488" s="8">
        <f t="shared" si="35"/>
        <v>1.5953016011914278</v>
      </c>
      <c r="Q488" s="10">
        <f t="shared" si="36"/>
        <v>0.5689205344585091</v>
      </c>
      <c r="R488" s="12">
        <f t="shared" si="37"/>
        <v>6.2411186113789778</v>
      </c>
      <c r="S488" s="2">
        <f t="shared" si="38"/>
        <v>1.4665576850575708</v>
      </c>
      <c r="T488" s="18" t="str">
        <f t="shared" si="39"/>
        <v>🟡 Mid</v>
      </c>
    </row>
    <row r="489" spans="1:20" x14ac:dyDescent="0.3">
      <c r="A489" s="17">
        <v>488</v>
      </c>
      <c r="B489" s="3" t="s">
        <v>102</v>
      </c>
      <c r="C489" s="3" t="s">
        <v>40</v>
      </c>
      <c r="D489" s="3" t="s">
        <v>13</v>
      </c>
      <c r="E489" s="3" t="s">
        <v>61</v>
      </c>
      <c r="F489" s="3" t="s">
        <v>24</v>
      </c>
      <c r="G489" s="3" t="s">
        <v>57</v>
      </c>
      <c r="H489" s="3" t="s">
        <v>58</v>
      </c>
      <c r="I489" s="3" t="s">
        <v>27</v>
      </c>
      <c r="J489" s="6">
        <v>2023</v>
      </c>
      <c r="K489" s="3">
        <v>8519.35</v>
      </c>
      <c r="L489" s="3">
        <v>555779</v>
      </c>
      <c r="M489" s="3">
        <v>4368</v>
      </c>
      <c r="N489" s="3">
        <v>250</v>
      </c>
      <c r="O489" s="3">
        <v>6707.25</v>
      </c>
      <c r="P489" s="9">
        <f t="shared" si="35"/>
        <v>0.7859239014068542</v>
      </c>
      <c r="Q489" s="11">
        <f t="shared" si="36"/>
        <v>1.5355425824175823</v>
      </c>
      <c r="R489" s="13">
        <f t="shared" si="37"/>
        <v>26.829000000000001</v>
      </c>
      <c r="S489" s="4">
        <f t="shared" si="38"/>
        <v>1.2701703380670171</v>
      </c>
      <c r="T489" s="19" t="str">
        <f t="shared" si="39"/>
        <v>🔴 Low</v>
      </c>
    </row>
    <row r="490" spans="1:20" x14ac:dyDescent="0.3">
      <c r="A490" s="16">
        <v>489</v>
      </c>
      <c r="B490" s="1" t="s">
        <v>71</v>
      </c>
      <c r="C490" s="1" t="s">
        <v>36</v>
      </c>
      <c r="D490" s="1" t="s">
        <v>13</v>
      </c>
      <c r="E490" s="1" t="s">
        <v>30</v>
      </c>
      <c r="F490" s="1" t="s">
        <v>24</v>
      </c>
      <c r="G490" s="1" t="s">
        <v>57</v>
      </c>
      <c r="H490" s="1" t="s">
        <v>79</v>
      </c>
      <c r="I490" s="1" t="s">
        <v>45</v>
      </c>
      <c r="J490" s="5">
        <v>2023</v>
      </c>
      <c r="K490" s="1">
        <v>1609.2</v>
      </c>
      <c r="L490" s="1">
        <v>627999</v>
      </c>
      <c r="M490" s="1">
        <v>14280</v>
      </c>
      <c r="N490" s="1">
        <v>1664</v>
      </c>
      <c r="O490" s="1">
        <v>1396.78</v>
      </c>
      <c r="P490" s="8">
        <f t="shared" si="35"/>
        <v>2.2738889711607819</v>
      </c>
      <c r="Q490" s="10">
        <f t="shared" si="36"/>
        <v>9.7813725490196082E-2</v>
      </c>
      <c r="R490" s="12">
        <f t="shared" si="37"/>
        <v>0.83941105769230773</v>
      </c>
      <c r="S490" s="2">
        <f t="shared" si="38"/>
        <v>1.1520783516373374</v>
      </c>
      <c r="T490" s="18" t="str">
        <f t="shared" si="39"/>
        <v>🟡 Mid</v>
      </c>
    </row>
    <row r="491" spans="1:20" x14ac:dyDescent="0.3">
      <c r="A491" s="17">
        <v>490</v>
      </c>
      <c r="B491" s="3" t="s">
        <v>20</v>
      </c>
      <c r="C491" s="3" t="s">
        <v>21</v>
      </c>
      <c r="D491" s="3" t="s">
        <v>22</v>
      </c>
      <c r="E491" s="3" t="s">
        <v>61</v>
      </c>
      <c r="F491" s="3" t="s">
        <v>24</v>
      </c>
      <c r="G491" s="3" t="s">
        <v>50</v>
      </c>
      <c r="H491" s="3" t="s">
        <v>44</v>
      </c>
      <c r="I491" s="3" t="s">
        <v>45</v>
      </c>
      <c r="J491" s="6">
        <v>2023</v>
      </c>
      <c r="K491" s="3">
        <v>17972.03</v>
      </c>
      <c r="L491" s="3">
        <v>734445</v>
      </c>
      <c r="M491" s="3">
        <v>367</v>
      </c>
      <c r="N491" s="3">
        <v>2</v>
      </c>
      <c r="O491" s="3">
        <v>13006.7</v>
      </c>
      <c r="P491" s="9">
        <f t="shared" si="35"/>
        <v>4.996970501535173E-2</v>
      </c>
      <c r="Q491" s="11">
        <f t="shared" si="36"/>
        <v>35.440599455040875</v>
      </c>
      <c r="R491" s="13">
        <f t="shared" si="37"/>
        <v>6503.35</v>
      </c>
      <c r="S491" s="4">
        <f t="shared" si="38"/>
        <v>1.3817517125789014</v>
      </c>
      <c r="T491" s="19" t="str">
        <f t="shared" si="39"/>
        <v>🔴 Low</v>
      </c>
    </row>
    <row r="492" spans="1:20" x14ac:dyDescent="0.3">
      <c r="A492" s="16">
        <v>491</v>
      </c>
      <c r="B492" s="1" t="s">
        <v>20</v>
      </c>
      <c r="C492" s="1" t="s">
        <v>21</v>
      </c>
      <c r="D492" s="1" t="s">
        <v>41</v>
      </c>
      <c r="E492" s="1" t="s">
        <v>23</v>
      </c>
      <c r="F492" s="1" t="s">
        <v>47</v>
      </c>
      <c r="G492" s="1" t="s">
        <v>43</v>
      </c>
      <c r="H492" s="1" t="s">
        <v>52</v>
      </c>
      <c r="I492" s="1" t="s">
        <v>38</v>
      </c>
      <c r="J492" s="5">
        <v>2023</v>
      </c>
      <c r="K492" s="1">
        <v>15724.26</v>
      </c>
      <c r="L492" s="1">
        <v>295756</v>
      </c>
      <c r="M492" s="1">
        <v>2316</v>
      </c>
      <c r="N492" s="1">
        <v>200</v>
      </c>
      <c r="O492" s="1">
        <v>9831.19</v>
      </c>
      <c r="P492" s="8">
        <f t="shared" si="35"/>
        <v>0.78307794262838293</v>
      </c>
      <c r="Q492" s="10">
        <f t="shared" si="36"/>
        <v>4.2449006908462872</v>
      </c>
      <c r="R492" s="12">
        <f t="shared" si="37"/>
        <v>49.155950000000004</v>
      </c>
      <c r="S492" s="2">
        <f t="shared" si="38"/>
        <v>1.5994259087658766</v>
      </c>
      <c r="T492" s="18" t="str">
        <f t="shared" si="39"/>
        <v>🔴 Low</v>
      </c>
    </row>
    <row r="493" spans="1:20" x14ac:dyDescent="0.3">
      <c r="A493" s="17">
        <v>492</v>
      </c>
      <c r="B493" s="3" t="s">
        <v>92</v>
      </c>
      <c r="C493" s="3" t="s">
        <v>40</v>
      </c>
      <c r="D493" s="3" t="s">
        <v>41</v>
      </c>
      <c r="E493" s="3" t="s">
        <v>42</v>
      </c>
      <c r="F493" s="3" t="s">
        <v>47</v>
      </c>
      <c r="G493" s="3" t="s">
        <v>25</v>
      </c>
      <c r="H493" s="3" t="s">
        <v>79</v>
      </c>
      <c r="I493" s="3" t="s">
        <v>45</v>
      </c>
      <c r="J493" s="6">
        <v>2024</v>
      </c>
      <c r="K493" s="3">
        <v>3979.62</v>
      </c>
      <c r="L493" s="3">
        <v>520959</v>
      </c>
      <c r="M493" s="3">
        <v>5813</v>
      </c>
      <c r="N493" s="3">
        <v>399</v>
      </c>
      <c r="O493" s="3">
        <v>3291.41</v>
      </c>
      <c r="P493" s="9">
        <f t="shared" si="35"/>
        <v>1.1158267733161344</v>
      </c>
      <c r="Q493" s="11">
        <f t="shared" si="36"/>
        <v>0.56621537932220878</v>
      </c>
      <c r="R493" s="13">
        <f t="shared" si="37"/>
        <v>8.2491478696741858</v>
      </c>
      <c r="S493" s="4">
        <f t="shared" si="38"/>
        <v>1.2090927596379668</v>
      </c>
      <c r="T493" s="19" t="str">
        <f t="shared" si="39"/>
        <v>🔴 Low</v>
      </c>
    </row>
    <row r="494" spans="1:20" x14ac:dyDescent="0.3">
      <c r="A494" s="16">
        <v>493</v>
      </c>
      <c r="B494" s="1" t="s">
        <v>84</v>
      </c>
      <c r="C494" s="1" t="s">
        <v>40</v>
      </c>
      <c r="D494" s="1" t="s">
        <v>29</v>
      </c>
      <c r="E494" s="1" t="s">
        <v>42</v>
      </c>
      <c r="F494" s="1" t="s">
        <v>47</v>
      </c>
      <c r="G494" s="1" t="s">
        <v>43</v>
      </c>
      <c r="H494" s="1" t="s">
        <v>58</v>
      </c>
      <c r="I494" s="1" t="s">
        <v>27</v>
      </c>
      <c r="J494" s="5">
        <v>2023</v>
      </c>
      <c r="K494" s="1">
        <v>1921.93</v>
      </c>
      <c r="L494" s="1">
        <v>604098</v>
      </c>
      <c r="M494" s="1">
        <v>8929</v>
      </c>
      <c r="N494" s="1">
        <v>94</v>
      </c>
      <c r="O494" s="1">
        <v>1554.91</v>
      </c>
      <c r="P494" s="8">
        <f t="shared" si="35"/>
        <v>1.478071438740072</v>
      </c>
      <c r="Q494" s="10">
        <f t="shared" si="36"/>
        <v>0.17414156120506216</v>
      </c>
      <c r="R494" s="12">
        <f t="shared" si="37"/>
        <v>16.541595744680851</v>
      </c>
      <c r="S494" s="2">
        <f t="shared" si="38"/>
        <v>1.2360393849161688</v>
      </c>
      <c r="T494" s="18" t="str">
        <f t="shared" si="39"/>
        <v>🔴 Low</v>
      </c>
    </row>
    <row r="495" spans="1:20" x14ac:dyDescent="0.3">
      <c r="A495" s="17">
        <v>494</v>
      </c>
      <c r="B495" s="3" t="s">
        <v>62</v>
      </c>
      <c r="C495" s="3" t="s">
        <v>21</v>
      </c>
      <c r="D495" s="3" t="s">
        <v>22</v>
      </c>
      <c r="E495" s="3" t="s">
        <v>56</v>
      </c>
      <c r="F495" s="3" t="s">
        <v>47</v>
      </c>
      <c r="G495" s="3" t="s">
        <v>25</v>
      </c>
      <c r="H495" s="3" t="s">
        <v>54</v>
      </c>
      <c r="I495" s="3" t="s">
        <v>45</v>
      </c>
      <c r="J495" s="6">
        <v>2024</v>
      </c>
      <c r="K495" s="3">
        <v>18140.04</v>
      </c>
      <c r="L495" s="3">
        <v>607553</v>
      </c>
      <c r="M495" s="3">
        <v>303</v>
      </c>
      <c r="N495" s="3">
        <v>1</v>
      </c>
      <c r="O495" s="3">
        <v>16275.14</v>
      </c>
      <c r="P495" s="9">
        <f t="shared" si="35"/>
        <v>4.9872192220267203E-2</v>
      </c>
      <c r="Q495" s="11">
        <f t="shared" si="36"/>
        <v>53.713333333333331</v>
      </c>
      <c r="R495" s="13">
        <f t="shared" si="37"/>
        <v>16275.14</v>
      </c>
      <c r="S495" s="4">
        <f t="shared" si="38"/>
        <v>1.1145858038701972</v>
      </c>
      <c r="T495" s="19" t="str">
        <f t="shared" si="39"/>
        <v>🔴 Low</v>
      </c>
    </row>
    <row r="496" spans="1:20" x14ac:dyDescent="0.3">
      <c r="A496" s="16">
        <v>495</v>
      </c>
      <c r="B496" s="1" t="s">
        <v>67</v>
      </c>
      <c r="C496" s="1" t="s">
        <v>40</v>
      </c>
      <c r="D496" s="1" t="s">
        <v>41</v>
      </c>
      <c r="E496" s="1" t="s">
        <v>56</v>
      </c>
      <c r="F496" s="1" t="s">
        <v>31</v>
      </c>
      <c r="G496" s="1" t="s">
        <v>57</v>
      </c>
      <c r="H496" s="1" t="s">
        <v>81</v>
      </c>
      <c r="I496" s="1" t="s">
        <v>34</v>
      </c>
      <c r="J496" s="5">
        <v>2023</v>
      </c>
      <c r="K496" s="1">
        <v>564.49</v>
      </c>
      <c r="L496" s="1">
        <v>727742</v>
      </c>
      <c r="M496" s="1">
        <v>13372</v>
      </c>
      <c r="N496" s="1">
        <v>1409</v>
      </c>
      <c r="O496" s="1">
        <v>560.38</v>
      </c>
      <c r="P496" s="8">
        <f t="shared" si="35"/>
        <v>1.8374643761113141</v>
      </c>
      <c r="Q496" s="10">
        <f t="shared" si="36"/>
        <v>4.1906969787615912E-2</v>
      </c>
      <c r="R496" s="12">
        <f t="shared" si="37"/>
        <v>0.39771469127040454</v>
      </c>
      <c r="S496" s="2">
        <f t="shared" si="38"/>
        <v>1.0073343088618438</v>
      </c>
      <c r="T496" s="18" t="str">
        <f t="shared" si="39"/>
        <v>🟡 Mid</v>
      </c>
    </row>
    <row r="497" spans="1:20" x14ac:dyDescent="0.3">
      <c r="A497" s="17">
        <v>496</v>
      </c>
      <c r="B497" s="3" t="s">
        <v>96</v>
      </c>
      <c r="C497" s="3" t="s">
        <v>40</v>
      </c>
      <c r="D497" s="3" t="s">
        <v>13</v>
      </c>
      <c r="E497" s="3" t="s">
        <v>56</v>
      </c>
      <c r="F497" s="3" t="s">
        <v>24</v>
      </c>
      <c r="G497" s="3" t="s">
        <v>57</v>
      </c>
      <c r="H497" s="3" t="s">
        <v>37</v>
      </c>
      <c r="I497" s="3" t="s">
        <v>38</v>
      </c>
      <c r="J497" s="6">
        <v>2024</v>
      </c>
      <c r="K497" s="3">
        <v>2068.91</v>
      </c>
      <c r="L497" s="3">
        <v>486966</v>
      </c>
      <c r="M497" s="3">
        <v>5249</v>
      </c>
      <c r="N497" s="3">
        <v>541</v>
      </c>
      <c r="O497" s="3">
        <v>1493.3</v>
      </c>
      <c r="P497" s="9">
        <f t="shared" si="35"/>
        <v>1.0778986623296083</v>
      </c>
      <c r="Q497" s="11">
        <f t="shared" si="36"/>
        <v>0.28449228424461803</v>
      </c>
      <c r="R497" s="13">
        <f t="shared" si="37"/>
        <v>2.7602587800369687</v>
      </c>
      <c r="S497" s="4">
        <f t="shared" si="38"/>
        <v>1.3854617290564522</v>
      </c>
      <c r="T497" s="19" t="str">
        <f t="shared" si="39"/>
        <v>🔴 Low</v>
      </c>
    </row>
    <row r="498" spans="1:20" x14ac:dyDescent="0.3">
      <c r="A498" s="16">
        <v>497</v>
      </c>
      <c r="B498" s="1" t="s">
        <v>65</v>
      </c>
      <c r="C498" s="1" t="s">
        <v>36</v>
      </c>
      <c r="D498" s="1" t="s">
        <v>29</v>
      </c>
      <c r="E498" s="1" t="s">
        <v>42</v>
      </c>
      <c r="F498" s="1" t="s">
        <v>47</v>
      </c>
      <c r="G498" s="1" t="s">
        <v>25</v>
      </c>
      <c r="H498" s="1" t="s">
        <v>52</v>
      </c>
      <c r="I498" s="1" t="s">
        <v>38</v>
      </c>
      <c r="J498" s="5">
        <v>2024</v>
      </c>
      <c r="K498" s="1">
        <v>17980.98</v>
      </c>
      <c r="L498" s="1">
        <v>666249</v>
      </c>
      <c r="M498" s="1">
        <v>17213</v>
      </c>
      <c r="N498" s="1">
        <v>629</v>
      </c>
      <c r="O498" s="1">
        <v>14096.25</v>
      </c>
      <c r="P498" s="8">
        <f t="shared" si="35"/>
        <v>2.5835686057314908</v>
      </c>
      <c r="Q498" s="10">
        <f t="shared" si="36"/>
        <v>0.81893045953639687</v>
      </c>
      <c r="R498" s="12">
        <f t="shared" si="37"/>
        <v>22.410572337042925</v>
      </c>
      <c r="S498" s="2">
        <f t="shared" si="38"/>
        <v>1.275586060122373</v>
      </c>
      <c r="T498" s="18" t="str">
        <f t="shared" si="39"/>
        <v>🟡 Mid</v>
      </c>
    </row>
    <row r="499" spans="1:20" x14ac:dyDescent="0.3">
      <c r="A499" s="17">
        <v>498</v>
      </c>
      <c r="B499" s="3" t="s">
        <v>65</v>
      </c>
      <c r="C499" s="3" t="s">
        <v>36</v>
      </c>
      <c r="D499" s="3" t="s">
        <v>22</v>
      </c>
      <c r="E499" s="3" t="s">
        <v>30</v>
      </c>
      <c r="F499" s="3" t="s">
        <v>24</v>
      </c>
      <c r="G499" s="3" t="s">
        <v>32</v>
      </c>
      <c r="H499" s="3" t="s">
        <v>83</v>
      </c>
      <c r="I499" s="3" t="s">
        <v>38</v>
      </c>
      <c r="J499" s="6">
        <v>2024</v>
      </c>
      <c r="K499" s="3">
        <v>8080.97</v>
      </c>
      <c r="L499" s="3">
        <v>571809</v>
      </c>
      <c r="M499" s="3">
        <v>12950</v>
      </c>
      <c r="N499" s="3">
        <v>189</v>
      </c>
      <c r="O499" s="3">
        <v>6544.51</v>
      </c>
      <c r="P499" s="9">
        <f t="shared" si="35"/>
        <v>2.2647422478484951</v>
      </c>
      <c r="Q499" s="11">
        <f t="shared" si="36"/>
        <v>0.50536756756756762</v>
      </c>
      <c r="R499" s="13">
        <f t="shared" si="37"/>
        <v>34.627037037037042</v>
      </c>
      <c r="S499" s="4">
        <f t="shared" si="38"/>
        <v>1.2347708231785115</v>
      </c>
      <c r="T499" s="19" t="str">
        <f t="shared" si="39"/>
        <v>🟡 Mid</v>
      </c>
    </row>
    <row r="500" spans="1:20" x14ac:dyDescent="0.3">
      <c r="A500" s="16">
        <v>499</v>
      </c>
      <c r="B500" s="1" t="s">
        <v>51</v>
      </c>
      <c r="C500" s="1" t="s">
        <v>40</v>
      </c>
      <c r="D500" s="1" t="s">
        <v>22</v>
      </c>
      <c r="E500" s="1" t="s">
        <v>23</v>
      </c>
      <c r="F500" s="1" t="s">
        <v>24</v>
      </c>
      <c r="G500" s="1" t="s">
        <v>43</v>
      </c>
      <c r="H500" s="1" t="s">
        <v>54</v>
      </c>
      <c r="I500" s="1" t="s">
        <v>45</v>
      </c>
      <c r="J500" s="5">
        <v>2023</v>
      </c>
      <c r="K500" s="1">
        <v>8407.4</v>
      </c>
      <c r="L500" s="1">
        <v>226960</v>
      </c>
      <c r="M500" s="1">
        <v>4222</v>
      </c>
      <c r="N500" s="1">
        <v>50</v>
      </c>
      <c r="O500" s="1">
        <v>7438.81</v>
      </c>
      <c r="P500" s="8">
        <f t="shared" si="35"/>
        <v>1.860239689813183</v>
      </c>
      <c r="Q500" s="10">
        <f t="shared" si="36"/>
        <v>1.7619161534817622</v>
      </c>
      <c r="R500" s="12">
        <f t="shared" si="37"/>
        <v>148.77620000000002</v>
      </c>
      <c r="S500" s="2">
        <f t="shared" si="38"/>
        <v>1.1302076541812467</v>
      </c>
      <c r="T500" s="18" t="str">
        <f t="shared" si="39"/>
        <v>🟡 Mid</v>
      </c>
    </row>
    <row r="501" spans="1:20" hidden="1" x14ac:dyDescent="0.3">
      <c r="A501" s="17">
        <v>500</v>
      </c>
      <c r="B501" s="3" t="s">
        <v>69</v>
      </c>
      <c r="C501" s="3" t="s">
        <v>21</v>
      </c>
      <c r="D501" s="3" t="s">
        <v>29</v>
      </c>
      <c r="E501" s="3" t="s">
        <v>30</v>
      </c>
      <c r="F501" s="3" t="s">
        <v>24</v>
      </c>
      <c r="G501" s="3" t="s">
        <v>57</v>
      </c>
      <c r="H501" s="3" t="s">
        <v>54</v>
      </c>
      <c r="I501" s="3" t="s">
        <v>45</v>
      </c>
      <c r="J501" s="6">
        <v>2023</v>
      </c>
      <c r="K501" s="3">
        <v>10033.450000000001</v>
      </c>
      <c r="L501" s="3">
        <v>24989</v>
      </c>
      <c r="M501" s="3">
        <v>12</v>
      </c>
      <c r="N501" s="3">
        <v>0</v>
      </c>
      <c r="O501" s="3">
        <v>9888.65</v>
      </c>
      <c r="P501" s="9">
        <f t="shared" si="35"/>
        <v>4.8021129296890633E-2</v>
      </c>
      <c r="Q501" s="11">
        <f t="shared" si="36"/>
        <v>824.05416666666667</v>
      </c>
      <c r="R501" s="13" t="str">
        <f t="shared" si="37"/>
        <v>-</v>
      </c>
      <c r="S501" s="4">
        <f t="shared" si="38"/>
        <v>1.0146430503658235</v>
      </c>
      <c r="T501" s="19" t="str">
        <f t="shared" si="39"/>
        <v>🔴 Low</v>
      </c>
    </row>
    <row r="502" spans="1:20" x14ac:dyDescent="0.3">
      <c r="A502" s="16">
        <v>501</v>
      </c>
      <c r="B502" s="1" t="s">
        <v>93</v>
      </c>
      <c r="C502" s="1" t="s">
        <v>36</v>
      </c>
      <c r="D502" s="1" t="s">
        <v>46</v>
      </c>
      <c r="E502" s="1" t="s">
        <v>42</v>
      </c>
      <c r="F502" s="1" t="s">
        <v>24</v>
      </c>
      <c r="G502" s="1" t="s">
        <v>57</v>
      </c>
      <c r="H502" s="1" t="s">
        <v>52</v>
      </c>
      <c r="I502" s="1" t="s">
        <v>38</v>
      </c>
      <c r="J502" s="5">
        <v>2023</v>
      </c>
      <c r="K502" s="1">
        <v>9395.6</v>
      </c>
      <c r="L502" s="1">
        <v>183980</v>
      </c>
      <c r="M502" s="1">
        <v>5322</v>
      </c>
      <c r="N502" s="1">
        <v>473</v>
      </c>
      <c r="O502" s="1">
        <v>6087.93</v>
      </c>
      <c r="P502" s="8">
        <f t="shared" si="35"/>
        <v>2.8927057288835742</v>
      </c>
      <c r="Q502" s="10">
        <f t="shared" si="36"/>
        <v>1.1439177001127396</v>
      </c>
      <c r="R502" s="12">
        <f t="shared" si="37"/>
        <v>12.870887949260043</v>
      </c>
      <c r="S502" s="2">
        <f t="shared" si="38"/>
        <v>1.5433160368138268</v>
      </c>
      <c r="T502" s="18" t="str">
        <f t="shared" si="39"/>
        <v>🟡 Mid</v>
      </c>
    </row>
    <row r="503" spans="1:20" x14ac:dyDescent="0.3">
      <c r="A503" s="17">
        <v>502</v>
      </c>
      <c r="B503" s="3" t="s">
        <v>63</v>
      </c>
      <c r="C503" s="3" t="s">
        <v>21</v>
      </c>
      <c r="D503" s="3" t="s">
        <v>22</v>
      </c>
      <c r="E503" s="3" t="s">
        <v>30</v>
      </c>
      <c r="F503" s="3" t="s">
        <v>47</v>
      </c>
      <c r="G503" s="3" t="s">
        <v>43</v>
      </c>
      <c r="H503" s="3" t="s">
        <v>54</v>
      </c>
      <c r="I503" s="3" t="s">
        <v>45</v>
      </c>
      <c r="J503" s="6">
        <v>2024</v>
      </c>
      <c r="K503" s="3">
        <v>6822.58</v>
      </c>
      <c r="L503" s="3">
        <v>722318</v>
      </c>
      <c r="M503" s="3">
        <v>3927</v>
      </c>
      <c r="N503" s="3">
        <v>53</v>
      </c>
      <c r="O503" s="3">
        <v>4487.0600000000004</v>
      </c>
      <c r="P503" s="9">
        <f t="shared" si="35"/>
        <v>0.5436663630146279</v>
      </c>
      <c r="Q503" s="11">
        <f t="shared" si="36"/>
        <v>1.1426177743824804</v>
      </c>
      <c r="R503" s="13">
        <f t="shared" si="37"/>
        <v>84.661509433962266</v>
      </c>
      <c r="S503" s="4">
        <f t="shared" si="38"/>
        <v>1.5205011744884176</v>
      </c>
      <c r="T503" s="19" t="str">
        <f t="shared" si="39"/>
        <v>🔴 Low</v>
      </c>
    </row>
    <row r="504" spans="1:20" x14ac:dyDescent="0.3">
      <c r="A504" s="16">
        <v>503</v>
      </c>
      <c r="B504" s="1" t="s">
        <v>91</v>
      </c>
      <c r="C504" s="1" t="s">
        <v>36</v>
      </c>
      <c r="D504" s="1" t="s">
        <v>29</v>
      </c>
      <c r="E504" s="1" t="s">
        <v>30</v>
      </c>
      <c r="F504" s="1" t="s">
        <v>47</v>
      </c>
      <c r="G504" s="1" t="s">
        <v>57</v>
      </c>
      <c r="H504" s="1" t="s">
        <v>58</v>
      </c>
      <c r="I504" s="1" t="s">
        <v>27</v>
      </c>
      <c r="J504" s="5">
        <v>2024</v>
      </c>
      <c r="K504" s="1">
        <v>3254.12</v>
      </c>
      <c r="L504" s="1">
        <v>440320</v>
      </c>
      <c r="M504" s="1">
        <v>13371</v>
      </c>
      <c r="N504" s="1">
        <v>199</v>
      </c>
      <c r="O504" s="1">
        <v>2285.4699999999998</v>
      </c>
      <c r="P504" s="8">
        <f t="shared" si="35"/>
        <v>3.036655159883721</v>
      </c>
      <c r="Q504" s="10">
        <f t="shared" si="36"/>
        <v>0.1709273801510732</v>
      </c>
      <c r="R504" s="12">
        <f t="shared" si="37"/>
        <v>11.484773869346732</v>
      </c>
      <c r="S504" s="2">
        <f t="shared" si="38"/>
        <v>1.4238296717961734</v>
      </c>
      <c r="T504" s="18" t="str">
        <f t="shared" si="39"/>
        <v>🟢 High</v>
      </c>
    </row>
    <row r="505" spans="1:20" x14ac:dyDescent="0.3">
      <c r="A505" s="17">
        <v>504</v>
      </c>
      <c r="B505" s="3" t="s">
        <v>28</v>
      </c>
      <c r="C505" s="3" t="s">
        <v>21</v>
      </c>
      <c r="D505" s="3" t="s">
        <v>46</v>
      </c>
      <c r="E505" s="3" t="s">
        <v>42</v>
      </c>
      <c r="F505" s="3" t="s">
        <v>31</v>
      </c>
      <c r="G505" s="3" t="s">
        <v>32</v>
      </c>
      <c r="H505" s="3" t="s">
        <v>33</v>
      </c>
      <c r="I505" s="3" t="s">
        <v>34</v>
      </c>
      <c r="J505" s="6">
        <v>2023</v>
      </c>
      <c r="K505" s="3">
        <v>804.79</v>
      </c>
      <c r="L505" s="3">
        <v>515622</v>
      </c>
      <c r="M505" s="3">
        <v>5766</v>
      </c>
      <c r="N505" s="3">
        <v>258</v>
      </c>
      <c r="O505" s="3">
        <v>485.32</v>
      </c>
      <c r="P505" s="9">
        <f t="shared" si="35"/>
        <v>1.1182610517006646</v>
      </c>
      <c r="Q505" s="11">
        <f t="shared" si="36"/>
        <v>8.416926812348248E-2</v>
      </c>
      <c r="R505" s="13">
        <f t="shared" si="37"/>
        <v>1.8810852713178294</v>
      </c>
      <c r="S505" s="4">
        <f t="shared" si="38"/>
        <v>1.6582667106239182</v>
      </c>
      <c r="T505" s="19" t="str">
        <f t="shared" si="39"/>
        <v>🔴 Low</v>
      </c>
    </row>
    <row r="506" spans="1:20" x14ac:dyDescent="0.3">
      <c r="A506" s="16">
        <v>505</v>
      </c>
      <c r="B506" s="1" t="s">
        <v>71</v>
      </c>
      <c r="C506" s="1" t="s">
        <v>36</v>
      </c>
      <c r="D506" s="1" t="s">
        <v>41</v>
      </c>
      <c r="E506" s="1" t="s">
        <v>56</v>
      </c>
      <c r="F506" s="1" t="s">
        <v>31</v>
      </c>
      <c r="G506" s="1" t="s">
        <v>25</v>
      </c>
      <c r="H506" s="1" t="s">
        <v>83</v>
      </c>
      <c r="I506" s="1" t="s">
        <v>38</v>
      </c>
      <c r="J506" s="5">
        <v>2023</v>
      </c>
      <c r="K506" s="1">
        <v>12976.6</v>
      </c>
      <c r="L506" s="1">
        <v>553496</v>
      </c>
      <c r="M506" s="1">
        <v>13549</v>
      </c>
      <c r="N506" s="1">
        <v>1002</v>
      </c>
      <c r="O506" s="1">
        <v>11555.7</v>
      </c>
      <c r="P506" s="8">
        <f t="shared" si="35"/>
        <v>2.447894835735037</v>
      </c>
      <c r="Q506" s="10">
        <f t="shared" si="36"/>
        <v>0.8528821315226216</v>
      </c>
      <c r="R506" s="12">
        <f t="shared" si="37"/>
        <v>11.532634730538923</v>
      </c>
      <c r="S506" s="2">
        <f t="shared" si="38"/>
        <v>1.1229609629879627</v>
      </c>
      <c r="T506" s="18" t="str">
        <f t="shared" si="39"/>
        <v>🟡 Mid</v>
      </c>
    </row>
    <row r="507" spans="1:20" x14ac:dyDescent="0.3">
      <c r="A507" s="17">
        <v>506</v>
      </c>
      <c r="B507" s="3" t="s">
        <v>49</v>
      </c>
      <c r="C507" s="3" t="s">
        <v>21</v>
      </c>
      <c r="D507" s="3" t="s">
        <v>41</v>
      </c>
      <c r="E507" s="3" t="s">
        <v>61</v>
      </c>
      <c r="F507" s="3" t="s">
        <v>24</v>
      </c>
      <c r="G507" s="3" t="s">
        <v>43</v>
      </c>
      <c r="H507" s="3" t="s">
        <v>37</v>
      </c>
      <c r="I507" s="3" t="s">
        <v>38</v>
      </c>
      <c r="J507" s="6">
        <v>2024</v>
      </c>
      <c r="K507" s="3">
        <v>589.12</v>
      </c>
      <c r="L507" s="3">
        <v>252085</v>
      </c>
      <c r="M507" s="3">
        <v>2050</v>
      </c>
      <c r="N507" s="3">
        <v>154</v>
      </c>
      <c r="O507" s="3">
        <v>597.59</v>
      </c>
      <c r="P507" s="9">
        <f t="shared" si="35"/>
        <v>0.81321776384949518</v>
      </c>
      <c r="Q507" s="11">
        <f t="shared" si="36"/>
        <v>0.29150731707317074</v>
      </c>
      <c r="R507" s="13">
        <f t="shared" si="37"/>
        <v>3.8804545454545458</v>
      </c>
      <c r="S507" s="4">
        <f t="shared" si="38"/>
        <v>0.98582640271758226</v>
      </c>
      <c r="T507" s="19" t="str">
        <f t="shared" si="39"/>
        <v>🔴 Low</v>
      </c>
    </row>
    <row r="508" spans="1:20" x14ac:dyDescent="0.3">
      <c r="A508" s="16">
        <v>507</v>
      </c>
      <c r="B508" s="1" t="s">
        <v>99</v>
      </c>
      <c r="C508" s="1" t="s">
        <v>36</v>
      </c>
      <c r="D508" s="1" t="s">
        <v>29</v>
      </c>
      <c r="E508" s="1" t="s">
        <v>61</v>
      </c>
      <c r="F508" s="1" t="s">
        <v>24</v>
      </c>
      <c r="G508" s="1" t="s">
        <v>50</v>
      </c>
      <c r="H508" s="1" t="s">
        <v>44</v>
      </c>
      <c r="I508" s="1" t="s">
        <v>45</v>
      </c>
      <c r="J508" s="5">
        <v>2023</v>
      </c>
      <c r="K508" s="1">
        <v>5890.32</v>
      </c>
      <c r="L508" s="1">
        <v>208129</v>
      </c>
      <c r="M508" s="1">
        <v>6277</v>
      </c>
      <c r="N508" s="1">
        <v>221</v>
      </c>
      <c r="O508" s="1">
        <v>5789.14</v>
      </c>
      <c r="P508" s="8">
        <f t="shared" si="35"/>
        <v>3.0159180123865488</v>
      </c>
      <c r="Q508" s="10">
        <f t="shared" si="36"/>
        <v>0.92227815835590254</v>
      </c>
      <c r="R508" s="12">
        <f t="shared" si="37"/>
        <v>26.195203619909503</v>
      </c>
      <c r="S508" s="2">
        <f t="shared" si="38"/>
        <v>1.0174775527971338</v>
      </c>
      <c r="T508" s="18" t="str">
        <f t="shared" si="39"/>
        <v>🟢 High</v>
      </c>
    </row>
    <row r="509" spans="1:20" x14ac:dyDescent="0.3">
      <c r="A509" s="17">
        <v>508</v>
      </c>
      <c r="B509" s="3" t="s">
        <v>102</v>
      </c>
      <c r="C509" s="3" t="s">
        <v>40</v>
      </c>
      <c r="D509" s="3" t="s">
        <v>46</v>
      </c>
      <c r="E509" s="3" t="s">
        <v>42</v>
      </c>
      <c r="F509" s="3" t="s">
        <v>24</v>
      </c>
      <c r="G509" s="3" t="s">
        <v>43</v>
      </c>
      <c r="H509" s="3" t="s">
        <v>52</v>
      </c>
      <c r="I509" s="3" t="s">
        <v>38</v>
      </c>
      <c r="J509" s="6">
        <v>2023</v>
      </c>
      <c r="K509" s="3">
        <v>8976.1</v>
      </c>
      <c r="L509" s="3">
        <v>355533</v>
      </c>
      <c r="M509" s="3">
        <v>6345</v>
      </c>
      <c r="N509" s="3">
        <v>488</v>
      </c>
      <c r="O509" s="3">
        <v>8741.23</v>
      </c>
      <c r="P509" s="9">
        <f t="shared" si="35"/>
        <v>1.784644463383146</v>
      </c>
      <c r="Q509" s="11">
        <f t="shared" si="36"/>
        <v>1.3776564223798267</v>
      </c>
      <c r="R509" s="13">
        <f t="shared" si="37"/>
        <v>17.912356557377048</v>
      </c>
      <c r="S509" s="4">
        <f t="shared" si="38"/>
        <v>1.0268692163459834</v>
      </c>
      <c r="T509" s="19" t="str">
        <f t="shared" si="39"/>
        <v>🟡 Mid</v>
      </c>
    </row>
    <row r="510" spans="1:20" x14ac:dyDescent="0.3">
      <c r="A510" s="16">
        <v>509</v>
      </c>
      <c r="B510" s="1" t="s">
        <v>51</v>
      </c>
      <c r="C510" s="1" t="s">
        <v>40</v>
      </c>
      <c r="D510" s="1" t="s">
        <v>22</v>
      </c>
      <c r="E510" s="1" t="s">
        <v>42</v>
      </c>
      <c r="F510" s="1" t="s">
        <v>31</v>
      </c>
      <c r="G510" s="1" t="s">
        <v>25</v>
      </c>
      <c r="H510" s="1" t="s">
        <v>26</v>
      </c>
      <c r="I510" s="1" t="s">
        <v>27</v>
      </c>
      <c r="J510" s="5">
        <v>2023</v>
      </c>
      <c r="K510" s="1">
        <v>9958.7000000000007</v>
      </c>
      <c r="L510" s="1">
        <v>126703</v>
      </c>
      <c r="M510" s="1">
        <v>2446</v>
      </c>
      <c r="N510" s="1">
        <v>28</v>
      </c>
      <c r="O510" s="1">
        <v>8400.16</v>
      </c>
      <c r="P510" s="8">
        <f t="shared" si="35"/>
        <v>1.9304988832150778</v>
      </c>
      <c r="Q510" s="10">
        <f t="shared" si="36"/>
        <v>3.4342436631234667</v>
      </c>
      <c r="R510" s="12">
        <f t="shared" si="37"/>
        <v>300.0057142857143</v>
      </c>
      <c r="S510" s="2">
        <f t="shared" si="38"/>
        <v>1.1855369421534829</v>
      </c>
      <c r="T510" s="18" t="str">
        <f t="shared" si="39"/>
        <v>🟡 Mid</v>
      </c>
    </row>
    <row r="511" spans="1:20" x14ac:dyDescent="0.3">
      <c r="A511" s="17">
        <v>510</v>
      </c>
      <c r="B511" s="3" t="s">
        <v>84</v>
      </c>
      <c r="C511" s="3" t="s">
        <v>40</v>
      </c>
      <c r="D511" s="3" t="s">
        <v>13</v>
      </c>
      <c r="E511" s="3" t="s">
        <v>30</v>
      </c>
      <c r="F511" s="3" t="s">
        <v>24</v>
      </c>
      <c r="G511" s="3" t="s">
        <v>43</v>
      </c>
      <c r="H511" s="3" t="s">
        <v>83</v>
      </c>
      <c r="I511" s="3" t="s">
        <v>38</v>
      </c>
      <c r="J511" s="6">
        <v>2023</v>
      </c>
      <c r="K511" s="3">
        <v>5123.8100000000004</v>
      </c>
      <c r="L511" s="3">
        <v>437637</v>
      </c>
      <c r="M511" s="3">
        <v>7692</v>
      </c>
      <c r="N511" s="3">
        <v>852</v>
      </c>
      <c r="O511" s="3">
        <v>3882.43</v>
      </c>
      <c r="P511" s="9">
        <f t="shared" si="35"/>
        <v>1.7576210420965319</v>
      </c>
      <c r="Q511" s="11">
        <f t="shared" si="36"/>
        <v>0.50473608944357773</v>
      </c>
      <c r="R511" s="13">
        <f t="shared" si="37"/>
        <v>4.5568427230046948</v>
      </c>
      <c r="S511" s="4">
        <f t="shared" si="38"/>
        <v>1.3197430475243599</v>
      </c>
      <c r="T511" s="19" t="str">
        <f t="shared" si="39"/>
        <v>🟡 Mid</v>
      </c>
    </row>
    <row r="512" spans="1:20" x14ac:dyDescent="0.3">
      <c r="A512" s="16">
        <v>511</v>
      </c>
      <c r="B512" s="1" t="s">
        <v>88</v>
      </c>
      <c r="C512" s="1" t="s">
        <v>36</v>
      </c>
      <c r="D512" s="1" t="s">
        <v>41</v>
      </c>
      <c r="E512" s="1" t="s">
        <v>61</v>
      </c>
      <c r="F512" s="1" t="s">
        <v>47</v>
      </c>
      <c r="G512" s="1" t="s">
        <v>57</v>
      </c>
      <c r="H512" s="1" t="s">
        <v>33</v>
      </c>
      <c r="I512" s="1" t="s">
        <v>34</v>
      </c>
      <c r="J512" s="5">
        <v>2023</v>
      </c>
      <c r="K512" s="1">
        <v>4715.22</v>
      </c>
      <c r="L512" s="1">
        <v>644037</v>
      </c>
      <c r="M512" s="1">
        <v>14972</v>
      </c>
      <c r="N512" s="1">
        <v>1061</v>
      </c>
      <c r="O512" s="1">
        <v>4254.66</v>
      </c>
      <c r="P512" s="8">
        <f t="shared" si="35"/>
        <v>2.3247111578993134</v>
      </c>
      <c r="Q512" s="10">
        <f t="shared" si="36"/>
        <v>0.2841744589901149</v>
      </c>
      <c r="R512" s="12">
        <f t="shared" si="37"/>
        <v>4.0100471253534398</v>
      </c>
      <c r="S512" s="2">
        <f t="shared" si="38"/>
        <v>1.1082483676721526</v>
      </c>
      <c r="T512" s="18" t="str">
        <f t="shared" si="39"/>
        <v>🟡 Mid</v>
      </c>
    </row>
    <row r="513" spans="1:20" x14ac:dyDescent="0.3">
      <c r="A513" s="17">
        <v>512</v>
      </c>
      <c r="B513" s="3" t="s">
        <v>95</v>
      </c>
      <c r="C513" s="3" t="s">
        <v>21</v>
      </c>
      <c r="D513" s="3" t="s">
        <v>13</v>
      </c>
      <c r="E513" s="3" t="s">
        <v>30</v>
      </c>
      <c r="F513" s="3" t="s">
        <v>47</v>
      </c>
      <c r="G513" s="3" t="s">
        <v>25</v>
      </c>
      <c r="H513" s="3" t="s">
        <v>68</v>
      </c>
      <c r="I513" s="3" t="s">
        <v>27</v>
      </c>
      <c r="J513" s="6">
        <v>2023</v>
      </c>
      <c r="K513" s="3">
        <v>5971.78</v>
      </c>
      <c r="L513" s="3">
        <v>121506</v>
      </c>
      <c r="M513" s="3">
        <v>1018</v>
      </c>
      <c r="N513" s="3">
        <v>111</v>
      </c>
      <c r="O513" s="3">
        <v>4733.25</v>
      </c>
      <c r="P513" s="9">
        <f t="shared" si="35"/>
        <v>0.83781870854114193</v>
      </c>
      <c r="Q513" s="11">
        <f t="shared" si="36"/>
        <v>4.6495579567779961</v>
      </c>
      <c r="R513" s="13">
        <f t="shared" si="37"/>
        <v>42.641891891891895</v>
      </c>
      <c r="S513" s="4">
        <f t="shared" si="38"/>
        <v>1.2616658743991971</v>
      </c>
      <c r="T513" s="19" t="str">
        <f t="shared" si="39"/>
        <v>🔴 Low</v>
      </c>
    </row>
    <row r="514" spans="1:20" x14ac:dyDescent="0.3">
      <c r="A514" s="16">
        <v>513</v>
      </c>
      <c r="B514" s="1" t="s">
        <v>99</v>
      </c>
      <c r="C514" s="1" t="s">
        <v>36</v>
      </c>
      <c r="D514" s="1" t="s">
        <v>46</v>
      </c>
      <c r="E514" s="1" t="s">
        <v>23</v>
      </c>
      <c r="F514" s="1" t="s">
        <v>31</v>
      </c>
      <c r="G514" s="1" t="s">
        <v>25</v>
      </c>
      <c r="H514" s="1" t="s">
        <v>44</v>
      </c>
      <c r="I514" s="1" t="s">
        <v>45</v>
      </c>
      <c r="J514" s="5">
        <v>2023</v>
      </c>
      <c r="K514" s="1">
        <v>11773.37</v>
      </c>
      <c r="L514" s="1">
        <v>584606</v>
      </c>
      <c r="M514" s="1">
        <v>17130</v>
      </c>
      <c r="N514" s="1">
        <v>1565</v>
      </c>
      <c r="O514" s="1">
        <v>9483.09</v>
      </c>
      <c r="P514" s="8">
        <f t="shared" ref="P514:P577" si="40">IFERROR(M514/L514*100,0)</f>
        <v>2.9301786160251519</v>
      </c>
      <c r="Q514" s="10">
        <f t="shared" ref="Q514:Q577" si="41">IFERROR(O514/M514,0)</f>
        <v>0.55359544658493876</v>
      </c>
      <c r="R514" s="12">
        <f t="shared" ref="R514:R577" si="42">IFERROR(O514/N514,"-")</f>
        <v>6.0594824281150164</v>
      </c>
      <c r="S514" s="2">
        <f t="shared" ref="S514:S577" si="43">IFERROR(K514/O514,0)</f>
        <v>1.2415119966171364</v>
      </c>
      <c r="T514" s="18" t="str">
        <f t="shared" ref="T514:T577" si="44">IF(P514&gt;=3,"🟢 High",IF(P514&gt;=1.5,"🟡 Mid","🔴 Low"))</f>
        <v>🟡 Mid</v>
      </c>
    </row>
    <row r="515" spans="1:20" x14ac:dyDescent="0.3">
      <c r="A515" s="17">
        <v>514</v>
      </c>
      <c r="B515" s="3" t="s">
        <v>89</v>
      </c>
      <c r="C515" s="3" t="s">
        <v>36</v>
      </c>
      <c r="D515" s="3" t="s">
        <v>41</v>
      </c>
      <c r="E515" s="3" t="s">
        <v>23</v>
      </c>
      <c r="F515" s="3" t="s">
        <v>24</v>
      </c>
      <c r="G515" s="3" t="s">
        <v>50</v>
      </c>
      <c r="H515" s="3" t="s">
        <v>54</v>
      </c>
      <c r="I515" s="3" t="s">
        <v>45</v>
      </c>
      <c r="J515" s="6">
        <v>2023</v>
      </c>
      <c r="K515" s="3">
        <v>5332.71</v>
      </c>
      <c r="L515" s="3">
        <v>460342</v>
      </c>
      <c r="M515" s="3">
        <v>12116</v>
      </c>
      <c r="N515" s="3">
        <v>1288</v>
      </c>
      <c r="O515" s="3">
        <v>5197.08</v>
      </c>
      <c r="P515" s="9">
        <f t="shared" si="40"/>
        <v>2.6319562412293469</v>
      </c>
      <c r="Q515" s="11">
        <f t="shared" si="41"/>
        <v>0.42894354572466159</v>
      </c>
      <c r="R515" s="13">
        <f t="shared" si="42"/>
        <v>4.0350000000000001</v>
      </c>
      <c r="S515" s="4">
        <f t="shared" si="43"/>
        <v>1.0260973469717611</v>
      </c>
      <c r="T515" s="19" t="str">
        <f t="shared" si="44"/>
        <v>🟡 Mid</v>
      </c>
    </row>
    <row r="516" spans="1:20" x14ac:dyDescent="0.3">
      <c r="A516" s="16">
        <v>515</v>
      </c>
      <c r="B516" s="1" t="s">
        <v>49</v>
      </c>
      <c r="C516" s="1" t="s">
        <v>21</v>
      </c>
      <c r="D516" s="1" t="s">
        <v>29</v>
      </c>
      <c r="E516" s="1" t="s">
        <v>42</v>
      </c>
      <c r="F516" s="1" t="s">
        <v>47</v>
      </c>
      <c r="G516" s="1" t="s">
        <v>57</v>
      </c>
      <c r="H516" s="1" t="s">
        <v>68</v>
      </c>
      <c r="I516" s="1" t="s">
        <v>27</v>
      </c>
      <c r="J516" s="5">
        <v>2024</v>
      </c>
      <c r="K516" s="1">
        <v>14802.79</v>
      </c>
      <c r="L516" s="1">
        <v>533709</v>
      </c>
      <c r="M516" s="1">
        <v>6947</v>
      </c>
      <c r="N516" s="1">
        <v>169</v>
      </c>
      <c r="O516" s="1">
        <v>13843.09</v>
      </c>
      <c r="P516" s="8">
        <f t="shared" si="40"/>
        <v>1.3016456533429266</v>
      </c>
      <c r="Q516" s="10">
        <f t="shared" si="41"/>
        <v>1.9926716568302865</v>
      </c>
      <c r="R516" s="12">
        <f t="shared" si="42"/>
        <v>81.911775147928992</v>
      </c>
      <c r="S516" s="2">
        <f t="shared" si="43"/>
        <v>1.0693270071927583</v>
      </c>
      <c r="T516" s="18" t="str">
        <f t="shared" si="44"/>
        <v>🔴 Low</v>
      </c>
    </row>
    <row r="517" spans="1:20" x14ac:dyDescent="0.3">
      <c r="A517" s="17">
        <v>516</v>
      </c>
      <c r="B517" s="3" t="s">
        <v>86</v>
      </c>
      <c r="C517" s="3" t="s">
        <v>36</v>
      </c>
      <c r="D517" s="3" t="s">
        <v>41</v>
      </c>
      <c r="E517" s="3" t="s">
        <v>30</v>
      </c>
      <c r="F517" s="3" t="s">
        <v>24</v>
      </c>
      <c r="G517" s="3" t="s">
        <v>32</v>
      </c>
      <c r="H517" s="3" t="s">
        <v>68</v>
      </c>
      <c r="I517" s="3" t="s">
        <v>27</v>
      </c>
      <c r="J517" s="6">
        <v>2024</v>
      </c>
      <c r="K517" s="3">
        <v>19023.71</v>
      </c>
      <c r="L517" s="3">
        <v>144158</v>
      </c>
      <c r="M517" s="3">
        <v>4222</v>
      </c>
      <c r="N517" s="3">
        <v>374</v>
      </c>
      <c r="O517" s="3">
        <v>13324.32</v>
      </c>
      <c r="P517" s="9">
        <f t="shared" si="40"/>
        <v>2.9287309757349576</v>
      </c>
      <c r="Q517" s="11">
        <f t="shared" si="41"/>
        <v>3.1559261013737565</v>
      </c>
      <c r="R517" s="13">
        <f t="shared" si="42"/>
        <v>35.626524064171122</v>
      </c>
      <c r="S517" s="4">
        <f t="shared" si="43"/>
        <v>1.4277434045414701</v>
      </c>
      <c r="T517" s="19" t="str">
        <f t="shared" si="44"/>
        <v>🟡 Mid</v>
      </c>
    </row>
    <row r="518" spans="1:20" x14ac:dyDescent="0.3">
      <c r="A518" s="16">
        <v>517</v>
      </c>
      <c r="B518" s="1" t="s">
        <v>98</v>
      </c>
      <c r="C518" s="1" t="s">
        <v>36</v>
      </c>
      <c r="D518" s="1" t="s">
        <v>41</v>
      </c>
      <c r="E518" s="1" t="s">
        <v>23</v>
      </c>
      <c r="F518" s="1" t="s">
        <v>24</v>
      </c>
      <c r="G518" s="1" t="s">
        <v>50</v>
      </c>
      <c r="H518" s="1" t="s">
        <v>79</v>
      </c>
      <c r="I518" s="1" t="s">
        <v>45</v>
      </c>
      <c r="J518" s="5">
        <v>2023</v>
      </c>
      <c r="K518" s="1">
        <v>19540.21</v>
      </c>
      <c r="L518" s="1">
        <v>491288</v>
      </c>
      <c r="M518" s="1">
        <v>14440</v>
      </c>
      <c r="N518" s="1">
        <v>1334</v>
      </c>
      <c r="O518" s="1">
        <v>18206.41</v>
      </c>
      <c r="P518" s="8">
        <f t="shared" si="40"/>
        <v>2.9392128446043868</v>
      </c>
      <c r="Q518" s="10">
        <f t="shared" si="41"/>
        <v>1.2608317174515236</v>
      </c>
      <c r="R518" s="12">
        <f t="shared" si="42"/>
        <v>13.647983508245877</v>
      </c>
      <c r="S518" s="2">
        <f t="shared" si="43"/>
        <v>1.073259912305611</v>
      </c>
      <c r="T518" s="18" t="str">
        <f t="shared" si="44"/>
        <v>🟡 Mid</v>
      </c>
    </row>
    <row r="519" spans="1:20" x14ac:dyDescent="0.3">
      <c r="A519" s="17">
        <v>518</v>
      </c>
      <c r="B519" s="3" t="s">
        <v>67</v>
      </c>
      <c r="C519" s="3" t="s">
        <v>40</v>
      </c>
      <c r="D519" s="3" t="s">
        <v>22</v>
      </c>
      <c r="E519" s="3" t="s">
        <v>42</v>
      </c>
      <c r="F519" s="3" t="s">
        <v>47</v>
      </c>
      <c r="G519" s="3" t="s">
        <v>43</v>
      </c>
      <c r="H519" s="3" t="s">
        <v>81</v>
      </c>
      <c r="I519" s="3" t="s">
        <v>34</v>
      </c>
      <c r="J519" s="6">
        <v>2023</v>
      </c>
      <c r="K519" s="3">
        <v>6283.5</v>
      </c>
      <c r="L519" s="3">
        <v>794460</v>
      </c>
      <c r="M519" s="3">
        <v>4698</v>
      </c>
      <c r="N519" s="3">
        <v>42</v>
      </c>
      <c r="O519" s="3">
        <v>6266.91</v>
      </c>
      <c r="P519" s="9">
        <f t="shared" si="40"/>
        <v>0.59134506457216229</v>
      </c>
      <c r="Q519" s="11">
        <f t="shared" si="41"/>
        <v>1.3339527458492975</v>
      </c>
      <c r="R519" s="13">
        <f t="shared" si="42"/>
        <v>149.21214285714285</v>
      </c>
      <c r="S519" s="4">
        <f t="shared" si="43"/>
        <v>1.0026472376338578</v>
      </c>
      <c r="T519" s="19" t="str">
        <f t="shared" si="44"/>
        <v>🔴 Low</v>
      </c>
    </row>
    <row r="520" spans="1:20" x14ac:dyDescent="0.3">
      <c r="A520" s="16">
        <v>519</v>
      </c>
      <c r="B520" s="1" t="s">
        <v>63</v>
      </c>
      <c r="C520" s="1" t="s">
        <v>21</v>
      </c>
      <c r="D520" s="1" t="s">
        <v>22</v>
      </c>
      <c r="E520" s="1" t="s">
        <v>61</v>
      </c>
      <c r="F520" s="1" t="s">
        <v>47</v>
      </c>
      <c r="G520" s="1" t="s">
        <v>57</v>
      </c>
      <c r="H520" s="1" t="s">
        <v>81</v>
      </c>
      <c r="I520" s="1" t="s">
        <v>34</v>
      </c>
      <c r="J520" s="5">
        <v>2024</v>
      </c>
      <c r="K520" s="1">
        <v>17815.57</v>
      </c>
      <c r="L520" s="1">
        <v>121356</v>
      </c>
      <c r="M520" s="1">
        <v>345</v>
      </c>
      <c r="N520" s="1">
        <v>1</v>
      </c>
      <c r="O520" s="1">
        <v>13431.19</v>
      </c>
      <c r="P520" s="8">
        <f t="shared" si="40"/>
        <v>0.28428755067734601</v>
      </c>
      <c r="Q520" s="10">
        <f t="shared" si="41"/>
        <v>38.930985507246376</v>
      </c>
      <c r="R520" s="12">
        <f t="shared" si="42"/>
        <v>13431.19</v>
      </c>
      <c r="S520" s="2">
        <f t="shared" si="43"/>
        <v>1.3264327285966471</v>
      </c>
      <c r="T520" s="18" t="str">
        <f t="shared" si="44"/>
        <v>🔴 Low</v>
      </c>
    </row>
    <row r="521" spans="1:20" x14ac:dyDescent="0.3">
      <c r="A521" s="17">
        <v>520</v>
      </c>
      <c r="B521" s="3" t="s">
        <v>20</v>
      </c>
      <c r="C521" s="3" t="s">
        <v>21</v>
      </c>
      <c r="D521" s="3" t="s">
        <v>29</v>
      </c>
      <c r="E521" s="3" t="s">
        <v>30</v>
      </c>
      <c r="F521" s="3" t="s">
        <v>24</v>
      </c>
      <c r="G521" s="3" t="s">
        <v>43</v>
      </c>
      <c r="H521" s="3" t="s">
        <v>83</v>
      </c>
      <c r="I521" s="3" t="s">
        <v>38</v>
      </c>
      <c r="J521" s="6">
        <v>2023</v>
      </c>
      <c r="K521" s="3">
        <v>13156.25</v>
      </c>
      <c r="L521" s="3">
        <v>778199</v>
      </c>
      <c r="M521" s="3">
        <v>8368</v>
      </c>
      <c r="N521" s="3">
        <v>319</v>
      </c>
      <c r="O521" s="3">
        <v>11099.27</v>
      </c>
      <c r="P521" s="9">
        <f t="shared" si="40"/>
        <v>1.0753033607085076</v>
      </c>
      <c r="Q521" s="11">
        <f t="shared" si="41"/>
        <v>1.3263945984703633</v>
      </c>
      <c r="R521" s="13">
        <f t="shared" si="42"/>
        <v>34.793949843260187</v>
      </c>
      <c r="S521" s="4">
        <f t="shared" si="43"/>
        <v>1.1853257016001952</v>
      </c>
      <c r="T521" s="19" t="str">
        <f t="shared" si="44"/>
        <v>🔴 Low</v>
      </c>
    </row>
    <row r="522" spans="1:20" x14ac:dyDescent="0.3">
      <c r="A522" s="16">
        <v>521</v>
      </c>
      <c r="B522" s="1" t="s">
        <v>63</v>
      </c>
      <c r="C522" s="1" t="s">
        <v>21</v>
      </c>
      <c r="D522" s="1" t="s">
        <v>46</v>
      </c>
      <c r="E522" s="1" t="s">
        <v>23</v>
      </c>
      <c r="F522" s="1" t="s">
        <v>47</v>
      </c>
      <c r="G522" s="1" t="s">
        <v>43</v>
      </c>
      <c r="H522" s="1" t="s">
        <v>81</v>
      </c>
      <c r="I522" s="1" t="s">
        <v>34</v>
      </c>
      <c r="J522" s="5">
        <v>2024</v>
      </c>
      <c r="K522" s="1">
        <v>5904.33</v>
      </c>
      <c r="L522" s="1">
        <v>71447</v>
      </c>
      <c r="M522" s="1">
        <v>226</v>
      </c>
      <c r="N522" s="1">
        <v>15</v>
      </c>
      <c r="O522" s="1">
        <v>5599.76</v>
      </c>
      <c r="P522" s="8">
        <f t="shared" si="40"/>
        <v>0.31631838985541727</v>
      </c>
      <c r="Q522" s="10">
        <f t="shared" si="41"/>
        <v>24.77769911504425</v>
      </c>
      <c r="R522" s="12">
        <f t="shared" si="42"/>
        <v>373.31733333333335</v>
      </c>
      <c r="S522" s="2">
        <f t="shared" si="43"/>
        <v>1.0543898309927568</v>
      </c>
      <c r="T522" s="18" t="str">
        <f t="shared" si="44"/>
        <v>🔴 Low</v>
      </c>
    </row>
    <row r="523" spans="1:20" x14ac:dyDescent="0.3">
      <c r="A523" s="17">
        <v>522</v>
      </c>
      <c r="B523" s="3" t="s">
        <v>77</v>
      </c>
      <c r="C523" s="3" t="s">
        <v>40</v>
      </c>
      <c r="D523" s="3" t="s">
        <v>41</v>
      </c>
      <c r="E523" s="3" t="s">
        <v>61</v>
      </c>
      <c r="F523" s="3" t="s">
        <v>47</v>
      </c>
      <c r="G523" s="3" t="s">
        <v>57</v>
      </c>
      <c r="H523" s="3" t="s">
        <v>83</v>
      </c>
      <c r="I523" s="3" t="s">
        <v>38</v>
      </c>
      <c r="J523" s="6">
        <v>2024</v>
      </c>
      <c r="K523" s="3">
        <v>2202.52</v>
      </c>
      <c r="L523" s="3">
        <v>414660</v>
      </c>
      <c r="M523" s="3">
        <v>8265</v>
      </c>
      <c r="N523" s="3">
        <v>1089</v>
      </c>
      <c r="O523" s="3">
        <v>1588.27</v>
      </c>
      <c r="P523" s="9">
        <f t="shared" si="40"/>
        <v>1.9931992475763276</v>
      </c>
      <c r="Q523" s="11">
        <f t="shared" si="41"/>
        <v>0.19216817906836056</v>
      </c>
      <c r="R523" s="13">
        <f t="shared" si="42"/>
        <v>1.4584664830119376</v>
      </c>
      <c r="S523" s="4">
        <f t="shared" si="43"/>
        <v>1.3867415489809667</v>
      </c>
      <c r="T523" s="19" t="str">
        <f t="shared" si="44"/>
        <v>🟡 Mid</v>
      </c>
    </row>
    <row r="524" spans="1:20" x14ac:dyDescent="0.3">
      <c r="A524" s="16">
        <v>523</v>
      </c>
      <c r="B524" s="1" t="s">
        <v>88</v>
      </c>
      <c r="C524" s="1" t="s">
        <v>36</v>
      </c>
      <c r="D524" s="1" t="s">
        <v>46</v>
      </c>
      <c r="E524" s="1" t="s">
        <v>23</v>
      </c>
      <c r="F524" s="1" t="s">
        <v>24</v>
      </c>
      <c r="G524" s="1" t="s">
        <v>25</v>
      </c>
      <c r="H524" s="1" t="s">
        <v>48</v>
      </c>
      <c r="I524" s="1" t="s">
        <v>34</v>
      </c>
      <c r="J524" s="5">
        <v>2023</v>
      </c>
      <c r="K524" s="1">
        <v>17562.37</v>
      </c>
      <c r="L524" s="1">
        <v>550980</v>
      </c>
      <c r="M524" s="1">
        <v>15991</v>
      </c>
      <c r="N524" s="1">
        <v>1039</v>
      </c>
      <c r="O524" s="1">
        <v>15570.96</v>
      </c>
      <c r="P524" s="8">
        <f t="shared" si="40"/>
        <v>2.9022832044720315</v>
      </c>
      <c r="Q524" s="10">
        <f t="shared" si="41"/>
        <v>0.97373272465761984</v>
      </c>
      <c r="R524" s="12">
        <f t="shared" si="42"/>
        <v>14.986487006737246</v>
      </c>
      <c r="S524" s="2">
        <f t="shared" si="43"/>
        <v>1.1278925641065163</v>
      </c>
      <c r="T524" s="18" t="str">
        <f t="shared" si="44"/>
        <v>🟡 Mid</v>
      </c>
    </row>
    <row r="525" spans="1:20" x14ac:dyDescent="0.3">
      <c r="A525" s="17">
        <v>524</v>
      </c>
      <c r="B525" s="3" t="s">
        <v>89</v>
      </c>
      <c r="C525" s="3" t="s">
        <v>36</v>
      </c>
      <c r="D525" s="3" t="s">
        <v>13</v>
      </c>
      <c r="E525" s="3" t="s">
        <v>56</v>
      </c>
      <c r="F525" s="3" t="s">
        <v>47</v>
      </c>
      <c r="G525" s="3" t="s">
        <v>57</v>
      </c>
      <c r="H525" s="3" t="s">
        <v>52</v>
      </c>
      <c r="I525" s="3" t="s">
        <v>38</v>
      </c>
      <c r="J525" s="6">
        <v>2023</v>
      </c>
      <c r="K525" s="3">
        <v>1727.52</v>
      </c>
      <c r="L525" s="3">
        <v>248613</v>
      </c>
      <c r="M525" s="3">
        <v>6882</v>
      </c>
      <c r="N525" s="3">
        <v>746</v>
      </c>
      <c r="O525" s="3">
        <v>1413.53</v>
      </c>
      <c r="P525" s="9">
        <f t="shared" si="40"/>
        <v>2.7681577391367305</v>
      </c>
      <c r="Q525" s="11">
        <f t="shared" si="41"/>
        <v>0.20539523394362103</v>
      </c>
      <c r="R525" s="13">
        <f t="shared" si="42"/>
        <v>1.8948123324396782</v>
      </c>
      <c r="S525" s="4">
        <f t="shared" si="43"/>
        <v>1.2221318259959109</v>
      </c>
      <c r="T525" s="19" t="str">
        <f t="shared" si="44"/>
        <v>🟡 Mid</v>
      </c>
    </row>
    <row r="526" spans="1:20" x14ac:dyDescent="0.3">
      <c r="A526" s="16">
        <v>525</v>
      </c>
      <c r="B526" s="1" t="s">
        <v>82</v>
      </c>
      <c r="C526" s="1" t="s">
        <v>40</v>
      </c>
      <c r="D526" s="1" t="s">
        <v>29</v>
      </c>
      <c r="E526" s="1" t="s">
        <v>23</v>
      </c>
      <c r="F526" s="1" t="s">
        <v>31</v>
      </c>
      <c r="G526" s="1" t="s">
        <v>43</v>
      </c>
      <c r="H526" s="1" t="s">
        <v>48</v>
      </c>
      <c r="I526" s="1" t="s">
        <v>34</v>
      </c>
      <c r="J526" s="5">
        <v>2024</v>
      </c>
      <c r="K526" s="1">
        <v>9431.14</v>
      </c>
      <c r="L526" s="1">
        <v>599806</v>
      </c>
      <c r="M526" s="1">
        <v>13172</v>
      </c>
      <c r="N526" s="1">
        <v>199</v>
      </c>
      <c r="O526" s="1">
        <v>6688.59</v>
      </c>
      <c r="P526" s="8">
        <f t="shared" si="40"/>
        <v>2.1960433873619136</v>
      </c>
      <c r="Q526" s="10">
        <f t="shared" si="41"/>
        <v>0.50778849073792898</v>
      </c>
      <c r="R526" s="12">
        <f t="shared" si="42"/>
        <v>33.611005025125628</v>
      </c>
      <c r="S526" s="2">
        <f t="shared" si="43"/>
        <v>1.4100341028527685</v>
      </c>
      <c r="T526" s="18" t="str">
        <f t="shared" si="44"/>
        <v>🟡 Mid</v>
      </c>
    </row>
    <row r="527" spans="1:20" x14ac:dyDescent="0.3">
      <c r="A527" s="17">
        <v>526</v>
      </c>
      <c r="B527" s="3" t="s">
        <v>96</v>
      </c>
      <c r="C527" s="3" t="s">
        <v>40</v>
      </c>
      <c r="D527" s="3" t="s">
        <v>13</v>
      </c>
      <c r="E527" s="3" t="s">
        <v>42</v>
      </c>
      <c r="F527" s="3" t="s">
        <v>24</v>
      </c>
      <c r="G527" s="3" t="s">
        <v>43</v>
      </c>
      <c r="H527" s="3" t="s">
        <v>52</v>
      </c>
      <c r="I527" s="3" t="s">
        <v>38</v>
      </c>
      <c r="J527" s="6">
        <v>2024</v>
      </c>
      <c r="K527" s="3">
        <v>19146.169999999998</v>
      </c>
      <c r="L527" s="3">
        <v>653680</v>
      </c>
      <c r="M527" s="3">
        <v>14712</v>
      </c>
      <c r="N527" s="3">
        <v>1687</v>
      </c>
      <c r="O527" s="3">
        <v>17211.66</v>
      </c>
      <c r="P527" s="9">
        <f t="shared" si="40"/>
        <v>2.2506425162158856</v>
      </c>
      <c r="Q527" s="11">
        <f t="shared" si="41"/>
        <v>1.1699061990212072</v>
      </c>
      <c r="R527" s="13">
        <f t="shared" si="42"/>
        <v>10.202525192649674</v>
      </c>
      <c r="S527" s="4">
        <f t="shared" si="43"/>
        <v>1.1123953180576422</v>
      </c>
      <c r="T527" s="19" t="str">
        <f t="shared" si="44"/>
        <v>🟡 Mid</v>
      </c>
    </row>
    <row r="528" spans="1:20" x14ac:dyDescent="0.3">
      <c r="A528" s="16">
        <v>527</v>
      </c>
      <c r="B528" s="1" t="s">
        <v>102</v>
      </c>
      <c r="C528" s="1" t="s">
        <v>40</v>
      </c>
      <c r="D528" s="1" t="s">
        <v>46</v>
      </c>
      <c r="E528" s="1" t="s">
        <v>30</v>
      </c>
      <c r="F528" s="1" t="s">
        <v>24</v>
      </c>
      <c r="G528" s="1" t="s">
        <v>25</v>
      </c>
      <c r="H528" s="1" t="s">
        <v>58</v>
      </c>
      <c r="I528" s="1" t="s">
        <v>27</v>
      </c>
      <c r="J528" s="5">
        <v>2023</v>
      </c>
      <c r="K528" s="1">
        <v>19878.57</v>
      </c>
      <c r="L528" s="1">
        <v>607433</v>
      </c>
      <c r="M528" s="1">
        <v>11371</v>
      </c>
      <c r="N528" s="1">
        <v>580</v>
      </c>
      <c r="O528" s="1">
        <v>16623.349999999999</v>
      </c>
      <c r="P528" s="8">
        <f t="shared" si="40"/>
        <v>1.8719760039378828</v>
      </c>
      <c r="Q528" s="10">
        <f t="shared" si="41"/>
        <v>1.4619074839504</v>
      </c>
      <c r="R528" s="12">
        <f t="shared" si="42"/>
        <v>28.660948275862065</v>
      </c>
      <c r="S528" s="2">
        <f t="shared" si="43"/>
        <v>1.195822141746399</v>
      </c>
      <c r="T528" s="18" t="str">
        <f t="shared" si="44"/>
        <v>🟡 Mid</v>
      </c>
    </row>
    <row r="529" spans="1:20" x14ac:dyDescent="0.3">
      <c r="A529" s="17">
        <v>528</v>
      </c>
      <c r="B529" s="3" t="s">
        <v>99</v>
      </c>
      <c r="C529" s="3" t="s">
        <v>36</v>
      </c>
      <c r="D529" s="3" t="s">
        <v>13</v>
      </c>
      <c r="E529" s="3" t="s">
        <v>30</v>
      </c>
      <c r="F529" s="3" t="s">
        <v>47</v>
      </c>
      <c r="G529" s="3" t="s">
        <v>50</v>
      </c>
      <c r="H529" s="3" t="s">
        <v>81</v>
      </c>
      <c r="I529" s="3" t="s">
        <v>34</v>
      </c>
      <c r="J529" s="6">
        <v>2023</v>
      </c>
      <c r="K529" s="3">
        <v>10906.04</v>
      </c>
      <c r="L529" s="3">
        <v>132391</v>
      </c>
      <c r="M529" s="3">
        <v>4073</v>
      </c>
      <c r="N529" s="3">
        <v>466</v>
      </c>
      <c r="O529" s="3">
        <v>8396.74</v>
      </c>
      <c r="P529" s="9">
        <f t="shared" si="40"/>
        <v>3.076493115090905</v>
      </c>
      <c r="Q529" s="11">
        <f t="shared" si="41"/>
        <v>2.0615615025779523</v>
      </c>
      <c r="R529" s="13">
        <f t="shared" si="42"/>
        <v>18.018755364806868</v>
      </c>
      <c r="S529" s="4">
        <f t="shared" si="43"/>
        <v>1.298842169699193</v>
      </c>
      <c r="T529" s="19" t="str">
        <f t="shared" si="44"/>
        <v>🟢 High</v>
      </c>
    </row>
    <row r="530" spans="1:20" x14ac:dyDescent="0.3">
      <c r="A530" s="16">
        <v>529</v>
      </c>
      <c r="B530" s="1" t="s">
        <v>92</v>
      </c>
      <c r="C530" s="1" t="s">
        <v>40</v>
      </c>
      <c r="D530" s="1" t="s">
        <v>41</v>
      </c>
      <c r="E530" s="1" t="s">
        <v>23</v>
      </c>
      <c r="F530" s="1" t="s">
        <v>24</v>
      </c>
      <c r="G530" s="1" t="s">
        <v>57</v>
      </c>
      <c r="H530" s="1" t="s">
        <v>54</v>
      </c>
      <c r="I530" s="1" t="s">
        <v>45</v>
      </c>
      <c r="J530" s="5">
        <v>2024</v>
      </c>
      <c r="K530" s="1">
        <v>13121.26</v>
      </c>
      <c r="L530" s="1">
        <v>314913</v>
      </c>
      <c r="M530" s="1">
        <v>3753</v>
      </c>
      <c r="N530" s="1">
        <v>508</v>
      </c>
      <c r="O530" s="1">
        <v>13277.27</v>
      </c>
      <c r="P530" s="8">
        <f t="shared" si="40"/>
        <v>1.1917577235617456</v>
      </c>
      <c r="Q530" s="10">
        <f t="shared" si="41"/>
        <v>3.5377751132427391</v>
      </c>
      <c r="R530" s="12">
        <f t="shared" si="42"/>
        <v>26.136358267716535</v>
      </c>
      <c r="S530" s="2">
        <f t="shared" si="43"/>
        <v>0.98824984352958101</v>
      </c>
      <c r="T530" s="18" t="str">
        <f t="shared" si="44"/>
        <v>🔴 Low</v>
      </c>
    </row>
    <row r="531" spans="1:20" x14ac:dyDescent="0.3">
      <c r="A531" s="17">
        <v>530</v>
      </c>
      <c r="B531" s="3" t="s">
        <v>49</v>
      </c>
      <c r="C531" s="3" t="s">
        <v>21</v>
      </c>
      <c r="D531" s="3" t="s">
        <v>29</v>
      </c>
      <c r="E531" s="3" t="s">
        <v>56</v>
      </c>
      <c r="F531" s="3" t="s">
        <v>47</v>
      </c>
      <c r="G531" s="3" t="s">
        <v>57</v>
      </c>
      <c r="H531" s="3" t="s">
        <v>54</v>
      </c>
      <c r="I531" s="3" t="s">
        <v>45</v>
      </c>
      <c r="J531" s="6">
        <v>2024</v>
      </c>
      <c r="K531" s="3">
        <v>18053.400000000001</v>
      </c>
      <c r="L531" s="3">
        <v>151195</v>
      </c>
      <c r="M531" s="3">
        <v>1160</v>
      </c>
      <c r="N531" s="3">
        <v>35</v>
      </c>
      <c r="O531" s="3">
        <v>11718.24</v>
      </c>
      <c r="P531" s="9">
        <f t="shared" si="40"/>
        <v>0.76722113826515426</v>
      </c>
      <c r="Q531" s="11">
        <f t="shared" si="41"/>
        <v>10.101931034482758</v>
      </c>
      <c r="R531" s="13">
        <f t="shared" si="42"/>
        <v>334.80685714285715</v>
      </c>
      <c r="S531" s="4">
        <f t="shared" si="43"/>
        <v>1.5406238479498628</v>
      </c>
      <c r="T531" s="19" t="str">
        <f t="shared" si="44"/>
        <v>🔴 Low</v>
      </c>
    </row>
    <row r="532" spans="1:20" x14ac:dyDescent="0.3">
      <c r="A532" s="16">
        <v>531</v>
      </c>
      <c r="B532" s="1" t="s">
        <v>75</v>
      </c>
      <c r="C532" s="1" t="s">
        <v>36</v>
      </c>
      <c r="D532" s="1" t="s">
        <v>29</v>
      </c>
      <c r="E532" s="1" t="s">
        <v>30</v>
      </c>
      <c r="F532" s="1" t="s">
        <v>47</v>
      </c>
      <c r="G532" s="1" t="s">
        <v>43</v>
      </c>
      <c r="H532" s="1" t="s">
        <v>58</v>
      </c>
      <c r="I532" s="1" t="s">
        <v>27</v>
      </c>
      <c r="J532" s="5">
        <v>2024</v>
      </c>
      <c r="K532" s="1">
        <v>1573.16</v>
      </c>
      <c r="L532" s="1">
        <v>677465</v>
      </c>
      <c r="M532" s="1">
        <v>20368</v>
      </c>
      <c r="N532" s="1">
        <v>681</v>
      </c>
      <c r="O532" s="1">
        <v>1450.74</v>
      </c>
      <c r="P532" s="8">
        <f t="shared" si="40"/>
        <v>3.0065021809244761</v>
      </c>
      <c r="Q532" s="10">
        <f t="shared" si="41"/>
        <v>7.1226433621366853E-2</v>
      </c>
      <c r="R532" s="12">
        <f t="shared" si="42"/>
        <v>2.130308370044053</v>
      </c>
      <c r="S532" s="2">
        <f t="shared" si="43"/>
        <v>1.0843845210030743</v>
      </c>
      <c r="T532" s="18" t="str">
        <f t="shared" si="44"/>
        <v>🟢 High</v>
      </c>
    </row>
    <row r="533" spans="1:20" x14ac:dyDescent="0.3">
      <c r="A533" s="17">
        <v>532</v>
      </c>
      <c r="B533" s="3" t="s">
        <v>91</v>
      </c>
      <c r="C533" s="3" t="s">
        <v>36</v>
      </c>
      <c r="D533" s="3" t="s">
        <v>22</v>
      </c>
      <c r="E533" s="3" t="s">
        <v>61</v>
      </c>
      <c r="F533" s="3" t="s">
        <v>47</v>
      </c>
      <c r="G533" s="3" t="s">
        <v>57</v>
      </c>
      <c r="H533" s="3" t="s">
        <v>81</v>
      </c>
      <c r="I533" s="3" t="s">
        <v>34</v>
      </c>
      <c r="J533" s="6">
        <v>2024</v>
      </c>
      <c r="K533" s="3">
        <v>4291.78</v>
      </c>
      <c r="L533" s="3">
        <v>338193</v>
      </c>
      <c r="M533" s="3">
        <v>11415</v>
      </c>
      <c r="N533" s="3">
        <v>160</v>
      </c>
      <c r="O533" s="3">
        <v>3497.17</v>
      </c>
      <c r="P533" s="9">
        <f t="shared" si="40"/>
        <v>3.3752916234221289</v>
      </c>
      <c r="Q533" s="11">
        <f t="shared" si="41"/>
        <v>0.30636618484450284</v>
      </c>
      <c r="R533" s="13">
        <f t="shared" si="42"/>
        <v>21.857312499999999</v>
      </c>
      <c r="S533" s="4">
        <f t="shared" si="43"/>
        <v>1.2272151482484408</v>
      </c>
      <c r="T533" s="19" t="str">
        <f t="shared" si="44"/>
        <v>🟢 High</v>
      </c>
    </row>
    <row r="534" spans="1:20" x14ac:dyDescent="0.3">
      <c r="A534" s="16">
        <v>533</v>
      </c>
      <c r="B534" s="1" t="s">
        <v>72</v>
      </c>
      <c r="C534" s="1" t="s">
        <v>36</v>
      </c>
      <c r="D534" s="1" t="s">
        <v>41</v>
      </c>
      <c r="E534" s="1" t="s">
        <v>30</v>
      </c>
      <c r="F534" s="1" t="s">
        <v>31</v>
      </c>
      <c r="G534" s="1" t="s">
        <v>50</v>
      </c>
      <c r="H534" s="1" t="s">
        <v>37</v>
      </c>
      <c r="I534" s="1" t="s">
        <v>38</v>
      </c>
      <c r="J534" s="5">
        <v>2024</v>
      </c>
      <c r="K534" s="1">
        <v>7770.21</v>
      </c>
      <c r="L534" s="1">
        <v>303477</v>
      </c>
      <c r="M534" s="1">
        <v>7765</v>
      </c>
      <c r="N534" s="1">
        <v>742</v>
      </c>
      <c r="O534" s="1">
        <v>6493.05</v>
      </c>
      <c r="P534" s="8">
        <f t="shared" si="40"/>
        <v>2.5586782523881544</v>
      </c>
      <c r="Q534" s="10">
        <f t="shared" si="41"/>
        <v>0.83619446233097239</v>
      </c>
      <c r="R534" s="12">
        <f t="shared" si="42"/>
        <v>8.750741239892184</v>
      </c>
      <c r="S534" s="2">
        <f t="shared" si="43"/>
        <v>1.1966964677616836</v>
      </c>
      <c r="T534" s="18" t="str">
        <f t="shared" si="44"/>
        <v>🟡 Mid</v>
      </c>
    </row>
    <row r="535" spans="1:20" x14ac:dyDescent="0.3">
      <c r="A535" s="17">
        <v>534</v>
      </c>
      <c r="B535" s="3" t="s">
        <v>86</v>
      </c>
      <c r="C535" s="3" t="s">
        <v>36</v>
      </c>
      <c r="D535" s="3" t="s">
        <v>41</v>
      </c>
      <c r="E535" s="3" t="s">
        <v>56</v>
      </c>
      <c r="F535" s="3" t="s">
        <v>47</v>
      </c>
      <c r="G535" s="3" t="s">
        <v>25</v>
      </c>
      <c r="H535" s="3" t="s">
        <v>54</v>
      </c>
      <c r="I535" s="3" t="s">
        <v>45</v>
      </c>
      <c r="J535" s="6">
        <v>2024</v>
      </c>
      <c r="K535" s="3">
        <v>14707.81</v>
      </c>
      <c r="L535" s="3">
        <v>439313</v>
      </c>
      <c r="M535" s="3">
        <v>13860</v>
      </c>
      <c r="N535" s="3">
        <v>986</v>
      </c>
      <c r="O535" s="3">
        <v>12451.86</v>
      </c>
      <c r="P535" s="9">
        <f t="shared" si="40"/>
        <v>3.1549259867110693</v>
      </c>
      <c r="Q535" s="11">
        <f t="shared" si="41"/>
        <v>0.89840259740259742</v>
      </c>
      <c r="R535" s="13">
        <f t="shared" si="42"/>
        <v>12.628661257606492</v>
      </c>
      <c r="S535" s="4">
        <f t="shared" si="43"/>
        <v>1.1811737362932124</v>
      </c>
      <c r="T535" s="19" t="str">
        <f t="shared" si="44"/>
        <v>🟢 High</v>
      </c>
    </row>
    <row r="536" spans="1:20" x14ac:dyDescent="0.3">
      <c r="A536" s="16">
        <v>535</v>
      </c>
      <c r="B536" s="1" t="s">
        <v>55</v>
      </c>
      <c r="C536" s="1" t="s">
        <v>36</v>
      </c>
      <c r="D536" s="1" t="s">
        <v>46</v>
      </c>
      <c r="E536" s="1" t="s">
        <v>23</v>
      </c>
      <c r="F536" s="1" t="s">
        <v>47</v>
      </c>
      <c r="G536" s="1" t="s">
        <v>32</v>
      </c>
      <c r="H536" s="1" t="s">
        <v>37</v>
      </c>
      <c r="I536" s="1" t="s">
        <v>38</v>
      </c>
      <c r="J536" s="5">
        <v>2023</v>
      </c>
      <c r="K536" s="1">
        <v>18696.48</v>
      </c>
      <c r="L536" s="1">
        <v>624371</v>
      </c>
      <c r="M536" s="1">
        <v>17533</v>
      </c>
      <c r="N536" s="1">
        <v>1132</v>
      </c>
      <c r="O536" s="1">
        <v>18398.32</v>
      </c>
      <c r="P536" s="8">
        <f t="shared" si="40"/>
        <v>2.8081060779568556</v>
      </c>
      <c r="Q536" s="10">
        <f t="shared" si="41"/>
        <v>1.0493537899960075</v>
      </c>
      <c r="R536" s="12">
        <f t="shared" si="42"/>
        <v>16.252932862190814</v>
      </c>
      <c r="S536" s="2">
        <f t="shared" si="43"/>
        <v>1.0162058274885968</v>
      </c>
      <c r="T536" s="18" t="str">
        <f t="shared" si="44"/>
        <v>🟡 Mid</v>
      </c>
    </row>
    <row r="537" spans="1:20" x14ac:dyDescent="0.3">
      <c r="A537" s="17">
        <v>536</v>
      </c>
      <c r="B537" s="3" t="s">
        <v>102</v>
      </c>
      <c r="C537" s="3" t="s">
        <v>40</v>
      </c>
      <c r="D537" s="3" t="s">
        <v>29</v>
      </c>
      <c r="E537" s="3" t="s">
        <v>56</v>
      </c>
      <c r="F537" s="3" t="s">
        <v>31</v>
      </c>
      <c r="G537" s="3" t="s">
        <v>32</v>
      </c>
      <c r="H537" s="3" t="s">
        <v>26</v>
      </c>
      <c r="I537" s="3" t="s">
        <v>27</v>
      </c>
      <c r="J537" s="6">
        <v>2023</v>
      </c>
      <c r="K537" s="3">
        <v>4127.13</v>
      </c>
      <c r="L537" s="3">
        <v>405314</v>
      </c>
      <c r="M537" s="3">
        <v>5613</v>
      </c>
      <c r="N537" s="3">
        <v>104</v>
      </c>
      <c r="O537" s="3">
        <v>3326.66</v>
      </c>
      <c r="P537" s="9">
        <f t="shared" si="40"/>
        <v>1.3848522380179318</v>
      </c>
      <c r="Q537" s="11">
        <f t="shared" si="41"/>
        <v>0.59267058613931944</v>
      </c>
      <c r="R537" s="13">
        <f t="shared" si="42"/>
        <v>31.987115384615382</v>
      </c>
      <c r="S537" s="4">
        <f t="shared" si="43"/>
        <v>1.2406227266988512</v>
      </c>
      <c r="T537" s="19" t="str">
        <f t="shared" si="44"/>
        <v>🔴 Low</v>
      </c>
    </row>
    <row r="538" spans="1:20" x14ac:dyDescent="0.3">
      <c r="A538" s="16">
        <v>537</v>
      </c>
      <c r="B538" s="1" t="s">
        <v>101</v>
      </c>
      <c r="C538" s="1" t="s">
        <v>40</v>
      </c>
      <c r="D538" s="1" t="s">
        <v>41</v>
      </c>
      <c r="E538" s="1" t="s">
        <v>61</v>
      </c>
      <c r="F538" s="1" t="s">
        <v>31</v>
      </c>
      <c r="G538" s="1" t="s">
        <v>50</v>
      </c>
      <c r="H538" s="1" t="s">
        <v>83</v>
      </c>
      <c r="I538" s="1" t="s">
        <v>38</v>
      </c>
      <c r="J538" s="5">
        <v>2023</v>
      </c>
      <c r="K538" s="1">
        <v>15928.78</v>
      </c>
      <c r="L538" s="1">
        <v>166505</v>
      </c>
      <c r="M538" s="1">
        <v>2498</v>
      </c>
      <c r="N538" s="1">
        <v>316</v>
      </c>
      <c r="O538" s="1">
        <v>12718.61</v>
      </c>
      <c r="P538" s="8">
        <f t="shared" si="40"/>
        <v>1.5002552475901625</v>
      </c>
      <c r="Q538" s="10">
        <f t="shared" si="41"/>
        <v>5.0915172137710174</v>
      </c>
      <c r="R538" s="12">
        <f t="shared" si="42"/>
        <v>40.248765822784812</v>
      </c>
      <c r="S538" s="2">
        <f t="shared" si="43"/>
        <v>1.2523994367309006</v>
      </c>
      <c r="T538" s="18" t="str">
        <f t="shared" si="44"/>
        <v>🟡 Mid</v>
      </c>
    </row>
    <row r="539" spans="1:20" x14ac:dyDescent="0.3">
      <c r="A539" s="17">
        <v>538</v>
      </c>
      <c r="B539" s="3" t="s">
        <v>73</v>
      </c>
      <c r="C539" s="3" t="s">
        <v>21</v>
      </c>
      <c r="D539" s="3" t="s">
        <v>41</v>
      </c>
      <c r="E539" s="3" t="s">
        <v>30</v>
      </c>
      <c r="F539" s="3" t="s">
        <v>47</v>
      </c>
      <c r="G539" s="3" t="s">
        <v>25</v>
      </c>
      <c r="H539" s="3" t="s">
        <v>68</v>
      </c>
      <c r="I539" s="3" t="s">
        <v>27</v>
      </c>
      <c r="J539" s="6">
        <v>2023</v>
      </c>
      <c r="K539" s="3">
        <v>15412.01</v>
      </c>
      <c r="L539" s="3">
        <v>522000</v>
      </c>
      <c r="M539" s="3">
        <v>10157</v>
      </c>
      <c r="N539" s="3">
        <v>1417</v>
      </c>
      <c r="O539" s="3">
        <v>9679.1200000000008</v>
      </c>
      <c r="P539" s="9">
        <f t="shared" si="40"/>
        <v>1.9457854406130268</v>
      </c>
      <c r="Q539" s="11">
        <f t="shared" si="41"/>
        <v>0.95295067441173587</v>
      </c>
      <c r="R539" s="13">
        <f t="shared" si="42"/>
        <v>6.8307127734650672</v>
      </c>
      <c r="S539" s="4">
        <f t="shared" si="43"/>
        <v>1.5922945474381967</v>
      </c>
      <c r="T539" s="19" t="str">
        <f t="shared" si="44"/>
        <v>🟡 Mid</v>
      </c>
    </row>
    <row r="540" spans="1:20" x14ac:dyDescent="0.3">
      <c r="A540" s="16">
        <v>539</v>
      </c>
      <c r="B540" s="1" t="s">
        <v>78</v>
      </c>
      <c r="C540" s="1" t="s">
        <v>21</v>
      </c>
      <c r="D540" s="1" t="s">
        <v>29</v>
      </c>
      <c r="E540" s="1" t="s">
        <v>56</v>
      </c>
      <c r="F540" s="1" t="s">
        <v>31</v>
      </c>
      <c r="G540" s="1" t="s">
        <v>50</v>
      </c>
      <c r="H540" s="1" t="s">
        <v>52</v>
      </c>
      <c r="I540" s="1" t="s">
        <v>38</v>
      </c>
      <c r="J540" s="5">
        <v>2024</v>
      </c>
      <c r="K540" s="1">
        <v>19498.05</v>
      </c>
      <c r="L540" s="1">
        <v>130392</v>
      </c>
      <c r="M540" s="1">
        <v>172</v>
      </c>
      <c r="N540" s="1">
        <v>1</v>
      </c>
      <c r="O540" s="1">
        <v>13824.23</v>
      </c>
      <c r="P540" s="8">
        <f t="shared" si="40"/>
        <v>0.13190993312473159</v>
      </c>
      <c r="Q540" s="10">
        <f t="shared" si="41"/>
        <v>80.373430232558135</v>
      </c>
      <c r="R540" s="12">
        <f t="shared" si="42"/>
        <v>13824.23</v>
      </c>
      <c r="S540" s="2">
        <f t="shared" si="43"/>
        <v>1.4104257524650559</v>
      </c>
      <c r="T540" s="18" t="str">
        <f t="shared" si="44"/>
        <v>🔴 Low</v>
      </c>
    </row>
    <row r="541" spans="1:20" x14ac:dyDescent="0.3">
      <c r="A541" s="17">
        <v>540</v>
      </c>
      <c r="B541" s="3" t="s">
        <v>28</v>
      </c>
      <c r="C541" s="3" t="s">
        <v>21</v>
      </c>
      <c r="D541" s="3" t="s">
        <v>46</v>
      </c>
      <c r="E541" s="3" t="s">
        <v>23</v>
      </c>
      <c r="F541" s="3" t="s">
        <v>47</v>
      </c>
      <c r="G541" s="3" t="s">
        <v>25</v>
      </c>
      <c r="H541" s="3" t="s">
        <v>37</v>
      </c>
      <c r="I541" s="3" t="s">
        <v>38</v>
      </c>
      <c r="J541" s="6">
        <v>2023</v>
      </c>
      <c r="K541" s="3">
        <v>1531.32</v>
      </c>
      <c r="L541" s="3">
        <v>383707</v>
      </c>
      <c r="M541" s="3">
        <v>4915</v>
      </c>
      <c r="N541" s="3">
        <v>320</v>
      </c>
      <c r="O541" s="3">
        <v>1505.42</v>
      </c>
      <c r="P541" s="9">
        <f t="shared" si="40"/>
        <v>1.2809252893483831</v>
      </c>
      <c r="Q541" s="11">
        <f t="shared" si="41"/>
        <v>0.30629094608341811</v>
      </c>
      <c r="R541" s="13">
        <f t="shared" si="42"/>
        <v>4.7044375</v>
      </c>
      <c r="S541" s="4">
        <f t="shared" si="43"/>
        <v>1.0172045010694688</v>
      </c>
      <c r="T541" s="19" t="str">
        <f t="shared" si="44"/>
        <v>🔴 Low</v>
      </c>
    </row>
    <row r="542" spans="1:20" x14ac:dyDescent="0.3">
      <c r="A542" s="16">
        <v>541</v>
      </c>
      <c r="B542" s="1" t="s">
        <v>51</v>
      </c>
      <c r="C542" s="1" t="s">
        <v>40</v>
      </c>
      <c r="D542" s="1" t="s">
        <v>13</v>
      </c>
      <c r="E542" s="1" t="s">
        <v>23</v>
      </c>
      <c r="F542" s="1" t="s">
        <v>31</v>
      </c>
      <c r="G542" s="1" t="s">
        <v>57</v>
      </c>
      <c r="H542" s="1" t="s">
        <v>81</v>
      </c>
      <c r="I542" s="1" t="s">
        <v>34</v>
      </c>
      <c r="J542" s="5">
        <v>2023</v>
      </c>
      <c r="K542" s="1">
        <v>15445.63</v>
      </c>
      <c r="L542" s="1">
        <v>197148</v>
      </c>
      <c r="M542" s="1">
        <v>3277</v>
      </c>
      <c r="N542" s="1">
        <v>202</v>
      </c>
      <c r="O542" s="1">
        <v>11360.18</v>
      </c>
      <c r="P542" s="8">
        <f t="shared" si="40"/>
        <v>1.6622030149938116</v>
      </c>
      <c r="Q542" s="10">
        <f t="shared" si="41"/>
        <v>3.4666402197131525</v>
      </c>
      <c r="R542" s="12">
        <f t="shared" si="42"/>
        <v>56.238514851485149</v>
      </c>
      <c r="S542" s="2">
        <f t="shared" si="43"/>
        <v>1.359628984752002</v>
      </c>
      <c r="T542" s="18" t="str">
        <f t="shared" si="44"/>
        <v>🟡 Mid</v>
      </c>
    </row>
    <row r="543" spans="1:20" x14ac:dyDescent="0.3">
      <c r="A543" s="17">
        <v>542</v>
      </c>
      <c r="B543" s="3" t="s">
        <v>77</v>
      </c>
      <c r="C543" s="3" t="s">
        <v>40</v>
      </c>
      <c r="D543" s="3" t="s">
        <v>13</v>
      </c>
      <c r="E543" s="3" t="s">
        <v>23</v>
      </c>
      <c r="F543" s="3" t="s">
        <v>24</v>
      </c>
      <c r="G543" s="3" t="s">
        <v>32</v>
      </c>
      <c r="H543" s="3" t="s">
        <v>79</v>
      </c>
      <c r="I543" s="3" t="s">
        <v>45</v>
      </c>
      <c r="J543" s="6">
        <v>2024</v>
      </c>
      <c r="K543" s="3">
        <v>16554.64</v>
      </c>
      <c r="L543" s="3">
        <v>18524</v>
      </c>
      <c r="M543" s="3">
        <v>171</v>
      </c>
      <c r="N543" s="3">
        <v>10</v>
      </c>
      <c r="O543" s="3">
        <v>11889.47</v>
      </c>
      <c r="P543" s="9">
        <f t="shared" si="40"/>
        <v>0.92312675448067372</v>
      </c>
      <c r="Q543" s="11">
        <f t="shared" si="41"/>
        <v>69.529064327485372</v>
      </c>
      <c r="R543" s="13">
        <f t="shared" si="42"/>
        <v>1188.9469999999999</v>
      </c>
      <c r="S543" s="4">
        <f t="shared" si="43"/>
        <v>1.3923782977710528</v>
      </c>
      <c r="T543" s="19" t="str">
        <f t="shared" si="44"/>
        <v>🔴 Low</v>
      </c>
    </row>
    <row r="544" spans="1:20" x14ac:dyDescent="0.3">
      <c r="A544" s="16">
        <v>543</v>
      </c>
      <c r="B544" s="1" t="s">
        <v>80</v>
      </c>
      <c r="C544" s="1" t="s">
        <v>40</v>
      </c>
      <c r="D544" s="1" t="s">
        <v>13</v>
      </c>
      <c r="E544" s="1" t="s">
        <v>30</v>
      </c>
      <c r="F544" s="1" t="s">
        <v>24</v>
      </c>
      <c r="G544" s="1" t="s">
        <v>25</v>
      </c>
      <c r="H544" s="1" t="s">
        <v>26</v>
      </c>
      <c r="I544" s="1" t="s">
        <v>27</v>
      </c>
      <c r="J544" s="5">
        <v>2023</v>
      </c>
      <c r="K544" s="1">
        <v>16715.68</v>
      </c>
      <c r="L544" s="1">
        <v>590792</v>
      </c>
      <c r="M544" s="1">
        <v>5235</v>
      </c>
      <c r="N544" s="1">
        <v>454</v>
      </c>
      <c r="O544" s="1">
        <v>13765.03</v>
      </c>
      <c r="P544" s="8">
        <f t="shared" si="40"/>
        <v>0.88609866078078248</v>
      </c>
      <c r="Q544" s="10">
        <f t="shared" si="41"/>
        <v>2.629423113658071</v>
      </c>
      <c r="R544" s="12">
        <f t="shared" si="42"/>
        <v>30.319449339207051</v>
      </c>
      <c r="S544" s="2">
        <f t="shared" si="43"/>
        <v>1.214358414039054</v>
      </c>
      <c r="T544" s="18" t="str">
        <f t="shared" si="44"/>
        <v>🔴 Low</v>
      </c>
    </row>
    <row r="545" spans="1:20" x14ac:dyDescent="0.3">
      <c r="A545" s="17">
        <v>544</v>
      </c>
      <c r="B545" s="3" t="s">
        <v>20</v>
      </c>
      <c r="C545" s="3" t="s">
        <v>21</v>
      </c>
      <c r="D545" s="3" t="s">
        <v>41</v>
      </c>
      <c r="E545" s="3" t="s">
        <v>56</v>
      </c>
      <c r="F545" s="3" t="s">
        <v>24</v>
      </c>
      <c r="G545" s="3" t="s">
        <v>57</v>
      </c>
      <c r="H545" s="3" t="s">
        <v>26</v>
      </c>
      <c r="I545" s="3" t="s">
        <v>27</v>
      </c>
      <c r="J545" s="6">
        <v>2023</v>
      </c>
      <c r="K545" s="3">
        <v>9850.61</v>
      </c>
      <c r="L545" s="3">
        <v>331708</v>
      </c>
      <c r="M545" s="3">
        <v>275</v>
      </c>
      <c r="N545" s="3">
        <v>31</v>
      </c>
      <c r="O545" s="3">
        <v>6485.5</v>
      </c>
      <c r="P545" s="9">
        <f t="shared" si="40"/>
        <v>8.2904241079503657E-2</v>
      </c>
      <c r="Q545" s="11">
        <f t="shared" si="41"/>
        <v>23.583636363636362</v>
      </c>
      <c r="R545" s="13">
        <f t="shared" si="42"/>
        <v>209.20967741935485</v>
      </c>
      <c r="S545" s="4">
        <f t="shared" si="43"/>
        <v>1.5188667026443605</v>
      </c>
      <c r="T545" s="19" t="str">
        <f t="shared" si="44"/>
        <v>🔴 Low</v>
      </c>
    </row>
    <row r="546" spans="1:20" x14ac:dyDescent="0.3">
      <c r="A546" s="16">
        <v>545</v>
      </c>
      <c r="B546" s="1" t="s">
        <v>100</v>
      </c>
      <c r="C546" s="1" t="s">
        <v>40</v>
      </c>
      <c r="D546" s="1" t="s">
        <v>46</v>
      </c>
      <c r="E546" s="1" t="s">
        <v>23</v>
      </c>
      <c r="F546" s="1" t="s">
        <v>24</v>
      </c>
      <c r="G546" s="1" t="s">
        <v>57</v>
      </c>
      <c r="H546" s="1" t="s">
        <v>83</v>
      </c>
      <c r="I546" s="1" t="s">
        <v>38</v>
      </c>
      <c r="J546" s="5">
        <v>2023</v>
      </c>
      <c r="K546" s="1">
        <v>17207.900000000001</v>
      </c>
      <c r="L546" s="1">
        <v>154274</v>
      </c>
      <c r="M546" s="1">
        <v>2217</v>
      </c>
      <c r="N546" s="1">
        <v>116</v>
      </c>
      <c r="O546" s="1">
        <v>17415.53</v>
      </c>
      <c r="P546" s="8">
        <f t="shared" si="40"/>
        <v>1.437053554066142</v>
      </c>
      <c r="Q546" s="10">
        <f t="shared" si="41"/>
        <v>7.8554488046910231</v>
      </c>
      <c r="R546" s="12">
        <f t="shared" si="42"/>
        <v>150.13387931034481</v>
      </c>
      <c r="S546" s="2">
        <f t="shared" si="43"/>
        <v>0.98807788221202586</v>
      </c>
      <c r="T546" s="18" t="str">
        <f t="shared" si="44"/>
        <v>🔴 Low</v>
      </c>
    </row>
    <row r="547" spans="1:20" x14ac:dyDescent="0.3">
      <c r="A547" s="17">
        <v>546</v>
      </c>
      <c r="B547" s="3" t="s">
        <v>85</v>
      </c>
      <c r="C547" s="3" t="s">
        <v>40</v>
      </c>
      <c r="D547" s="3" t="s">
        <v>22</v>
      </c>
      <c r="E547" s="3" t="s">
        <v>42</v>
      </c>
      <c r="F547" s="3" t="s">
        <v>47</v>
      </c>
      <c r="G547" s="3" t="s">
        <v>50</v>
      </c>
      <c r="H547" s="3" t="s">
        <v>68</v>
      </c>
      <c r="I547" s="3" t="s">
        <v>27</v>
      </c>
      <c r="J547" s="6">
        <v>2023</v>
      </c>
      <c r="K547" s="3">
        <v>2602.44</v>
      </c>
      <c r="L547" s="3">
        <v>696838</v>
      </c>
      <c r="M547" s="3">
        <v>8386</v>
      </c>
      <c r="N547" s="3">
        <v>106</v>
      </c>
      <c r="O547" s="3">
        <v>1626.24</v>
      </c>
      <c r="P547" s="9">
        <f t="shared" si="40"/>
        <v>1.2034360927503953</v>
      </c>
      <c r="Q547" s="11">
        <f t="shared" si="41"/>
        <v>0.19392320534223706</v>
      </c>
      <c r="R547" s="13">
        <f t="shared" si="42"/>
        <v>15.341886792452831</v>
      </c>
      <c r="S547" s="4">
        <f t="shared" si="43"/>
        <v>1.6002804014167651</v>
      </c>
      <c r="T547" s="19" t="str">
        <f t="shared" si="44"/>
        <v>🔴 Low</v>
      </c>
    </row>
    <row r="548" spans="1:20" x14ac:dyDescent="0.3">
      <c r="A548" s="16">
        <v>547</v>
      </c>
      <c r="B548" s="1" t="s">
        <v>71</v>
      </c>
      <c r="C548" s="1" t="s">
        <v>36</v>
      </c>
      <c r="D548" s="1" t="s">
        <v>22</v>
      </c>
      <c r="E548" s="1" t="s">
        <v>42</v>
      </c>
      <c r="F548" s="1" t="s">
        <v>47</v>
      </c>
      <c r="G548" s="1" t="s">
        <v>57</v>
      </c>
      <c r="H548" s="1" t="s">
        <v>58</v>
      </c>
      <c r="I548" s="1" t="s">
        <v>27</v>
      </c>
      <c r="J548" s="5">
        <v>2023</v>
      </c>
      <c r="K548" s="1">
        <v>18441.91</v>
      </c>
      <c r="L548" s="1">
        <v>220378</v>
      </c>
      <c r="M548" s="1">
        <v>5543</v>
      </c>
      <c r="N548" s="1">
        <v>83</v>
      </c>
      <c r="O548" s="1">
        <v>11291.78</v>
      </c>
      <c r="P548" s="8">
        <f t="shared" si="40"/>
        <v>2.5152238426703213</v>
      </c>
      <c r="Q548" s="10">
        <f t="shared" si="41"/>
        <v>2.0371243009200795</v>
      </c>
      <c r="R548" s="12">
        <f t="shared" si="42"/>
        <v>136.0455421686747</v>
      </c>
      <c r="S548" s="2">
        <f t="shared" si="43"/>
        <v>1.6332154894976698</v>
      </c>
      <c r="T548" s="18" t="str">
        <f t="shared" si="44"/>
        <v>🟡 Mid</v>
      </c>
    </row>
    <row r="549" spans="1:20" x14ac:dyDescent="0.3">
      <c r="A549" s="17">
        <v>548</v>
      </c>
      <c r="B549" s="3" t="s">
        <v>71</v>
      </c>
      <c r="C549" s="3" t="s">
        <v>36</v>
      </c>
      <c r="D549" s="3" t="s">
        <v>29</v>
      </c>
      <c r="E549" s="3" t="s">
        <v>23</v>
      </c>
      <c r="F549" s="3" t="s">
        <v>47</v>
      </c>
      <c r="G549" s="3" t="s">
        <v>25</v>
      </c>
      <c r="H549" s="3" t="s">
        <v>81</v>
      </c>
      <c r="I549" s="3" t="s">
        <v>34</v>
      </c>
      <c r="J549" s="6">
        <v>2023</v>
      </c>
      <c r="K549" s="3">
        <v>10345.73</v>
      </c>
      <c r="L549" s="3">
        <v>76656</v>
      </c>
      <c r="M549" s="3">
        <v>2012</v>
      </c>
      <c r="N549" s="3">
        <v>26</v>
      </c>
      <c r="O549" s="3">
        <v>8719.5499999999993</v>
      </c>
      <c r="P549" s="9">
        <f t="shared" si="40"/>
        <v>2.6247130035483197</v>
      </c>
      <c r="Q549" s="11">
        <f t="shared" si="41"/>
        <v>4.333772365805169</v>
      </c>
      <c r="R549" s="13">
        <f t="shared" si="42"/>
        <v>335.36730769230769</v>
      </c>
      <c r="S549" s="4">
        <f t="shared" si="43"/>
        <v>1.1864981564415595</v>
      </c>
      <c r="T549" s="19" t="str">
        <f t="shared" si="44"/>
        <v>🟡 Mid</v>
      </c>
    </row>
    <row r="550" spans="1:20" x14ac:dyDescent="0.3">
      <c r="A550" s="16">
        <v>549</v>
      </c>
      <c r="B550" s="1" t="s">
        <v>93</v>
      </c>
      <c r="C550" s="1" t="s">
        <v>36</v>
      </c>
      <c r="D550" s="1" t="s">
        <v>46</v>
      </c>
      <c r="E550" s="1" t="s">
        <v>23</v>
      </c>
      <c r="F550" s="1" t="s">
        <v>24</v>
      </c>
      <c r="G550" s="1" t="s">
        <v>32</v>
      </c>
      <c r="H550" s="1" t="s">
        <v>68</v>
      </c>
      <c r="I550" s="1" t="s">
        <v>27</v>
      </c>
      <c r="J550" s="5">
        <v>2023</v>
      </c>
      <c r="K550" s="1">
        <v>18522.53</v>
      </c>
      <c r="L550" s="1">
        <v>533687</v>
      </c>
      <c r="M550" s="1">
        <v>16742</v>
      </c>
      <c r="N550" s="1">
        <v>1370</v>
      </c>
      <c r="O550" s="1">
        <v>12553.7</v>
      </c>
      <c r="P550" s="8">
        <f t="shared" si="40"/>
        <v>3.1370447472020122</v>
      </c>
      <c r="Q550" s="10">
        <f t="shared" si="41"/>
        <v>0.74983275594313703</v>
      </c>
      <c r="R550" s="12">
        <f t="shared" si="42"/>
        <v>9.163284671532848</v>
      </c>
      <c r="S550" s="2">
        <f t="shared" si="43"/>
        <v>1.4754638074830526</v>
      </c>
      <c r="T550" s="18" t="str">
        <f t="shared" si="44"/>
        <v>🟢 High</v>
      </c>
    </row>
    <row r="551" spans="1:20" x14ac:dyDescent="0.3">
      <c r="A551" s="17">
        <v>550</v>
      </c>
      <c r="B551" s="3" t="s">
        <v>20</v>
      </c>
      <c r="C551" s="3" t="s">
        <v>21</v>
      </c>
      <c r="D551" s="3" t="s">
        <v>46</v>
      </c>
      <c r="E551" s="3" t="s">
        <v>23</v>
      </c>
      <c r="F551" s="3" t="s">
        <v>47</v>
      </c>
      <c r="G551" s="3" t="s">
        <v>50</v>
      </c>
      <c r="H551" s="3" t="s">
        <v>83</v>
      </c>
      <c r="I551" s="3" t="s">
        <v>38</v>
      </c>
      <c r="J551" s="6">
        <v>2023</v>
      </c>
      <c r="K551" s="3">
        <v>8447.77</v>
      </c>
      <c r="L551" s="3">
        <v>334546</v>
      </c>
      <c r="M551" s="3">
        <v>815</v>
      </c>
      <c r="N551" s="3">
        <v>38</v>
      </c>
      <c r="O551" s="3">
        <v>5460.07</v>
      </c>
      <c r="P551" s="9">
        <f t="shared" si="40"/>
        <v>0.24361373323847843</v>
      </c>
      <c r="Q551" s="11">
        <f t="shared" si="41"/>
        <v>6.6994723926380368</v>
      </c>
      <c r="R551" s="13">
        <f t="shared" si="42"/>
        <v>143.68605263157895</v>
      </c>
      <c r="S551" s="4">
        <f t="shared" si="43"/>
        <v>1.5471907869313033</v>
      </c>
      <c r="T551" s="19" t="str">
        <f t="shared" si="44"/>
        <v>🔴 Low</v>
      </c>
    </row>
    <row r="552" spans="1:20" x14ac:dyDescent="0.3">
      <c r="A552" s="16">
        <v>551</v>
      </c>
      <c r="B552" s="1" t="s">
        <v>86</v>
      </c>
      <c r="C552" s="1" t="s">
        <v>36</v>
      </c>
      <c r="D552" s="1" t="s">
        <v>13</v>
      </c>
      <c r="E552" s="1" t="s">
        <v>23</v>
      </c>
      <c r="F552" s="1" t="s">
        <v>31</v>
      </c>
      <c r="G552" s="1" t="s">
        <v>57</v>
      </c>
      <c r="H552" s="1" t="s">
        <v>58</v>
      </c>
      <c r="I552" s="1" t="s">
        <v>27</v>
      </c>
      <c r="J552" s="5">
        <v>2024</v>
      </c>
      <c r="K552" s="1">
        <v>10127.4</v>
      </c>
      <c r="L552" s="1">
        <v>408472</v>
      </c>
      <c r="M552" s="1">
        <v>10857</v>
      </c>
      <c r="N552" s="1">
        <v>779</v>
      </c>
      <c r="O552" s="1">
        <v>10228.629999999999</v>
      </c>
      <c r="P552" s="8">
        <f t="shared" si="40"/>
        <v>2.6579545231986526</v>
      </c>
      <c r="Q552" s="10">
        <f t="shared" si="41"/>
        <v>0.94212305425071374</v>
      </c>
      <c r="R552" s="12">
        <f t="shared" si="42"/>
        <v>13.130462130937097</v>
      </c>
      <c r="S552" s="2">
        <f t="shared" si="43"/>
        <v>0.99010326896172807</v>
      </c>
      <c r="T552" s="18" t="str">
        <f t="shared" si="44"/>
        <v>🟡 Mid</v>
      </c>
    </row>
    <row r="553" spans="1:20" x14ac:dyDescent="0.3">
      <c r="A553" s="17">
        <v>552</v>
      </c>
      <c r="B553" s="3" t="s">
        <v>84</v>
      </c>
      <c r="C553" s="3" t="s">
        <v>40</v>
      </c>
      <c r="D553" s="3" t="s">
        <v>29</v>
      </c>
      <c r="E553" s="3" t="s">
        <v>56</v>
      </c>
      <c r="F553" s="3" t="s">
        <v>47</v>
      </c>
      <c r="G553" s="3" t="s">
        <v>50</v>
      </c>
      <c r="H553" s="3" t="s">
        <v>83</v>
      </c>
      <c r="I553" s="3" t="s">
        <v>38</v>
      </c>
      <c r="J553" s="6">
        <v>2023</v>
      </c>
      <c r="K553" s="3">
        <v>17947.72</v>
      </c>
      <c r="L553" s="3">
        <v>503783</v>
      </c>
      <c r="M553" s="3">
        <v>11396</v>
      </c>
      <c r="N553" s="3">
        <v>435</v>
      </c>
      <c r="O553" s="3">
        <v>13538.42</v>
      </c>
      <c r="P553" s="9">
        <f t="shared" si="40"/>
        <v>2.2620850644027293</v>
      </c>
      <c r="Q553" s="11">
        <f t="shared" si="41"/>
        <v>1.1879975429975429</v>
      </c>
      <c r="R553" s="13">
        <f t="shared" si="42"/>
        <v>31.122804597701151</v>
      </c>
      <c r="S553" s="4">
        <f t="shared" si="43"/>
        <v>1.3256879310879706</v>
      </c>
      <c r="T553" s="19" t="str">
        <f t="shared" si="44"/>
        <v>🟡 Mid</v>
      </c>
    </row>
    <row r="554" spans="1:20" x14ac:dyDescent="0.3">
      <c r="A554" s="16">
        <v>553</v>
      </c>
      <c r="B554" s="1" t="s">
        <v>89</v>
      </c>
      <c r="C554" s="1" t="s">
        <v>36</v>
      </c>
      <c r="D554" s="1" t="s">
        <v>22</v>
      </c>
      <c r="E554" s="1" t="s">
        <v>56</v>
      </c>
      <c r="F554" s="1" t="s">
        <v>47</v>
      </c>
      <c r="G554" s="1" t="s">
        <v>32</v>
      </c>
      <c r="H554" s="1" t="s">
        <v>44</v>
      </c>
      <c r="I554" s="1" t="s">
        <v>45</v>
      </c>
      <c r="J554" s="5">
        <v>2023</v>
      </c>
      <c r="K554" s="1">
        <v>2824.75</v>
      </c>
      <c r="L554" s="1">
        <v>418989</v>
      </c>
      <c r="M554" s="1">
        <v>9460</v>
      </c>
      <c r="N554" s="1">
        <v>61</v>
      </c>
      <c r="O554" s="1">
        <v>2792.61</v>
      </c>
      <c r="P554" s="8">
        <f t="shared" si="40"/>
        <v>2.2578158376472892</v>
      </c>
      <c r="Q554" s="10">
        <f t="shared" si="41"/>
        <v>0.2952019027484144</v>
      </c>
      <c r="R554" s="12">
        <f t="shared" si="42"/>
        <v>45.780491803278693</v>
      </c>
      <c r="S554" s="2">
        <f t="shared" si="43"/>
        <v>1.0115089468275198</v>
      </c>
      <c r="T554" s="18" t="str">
        <f t="shared" si="44"/>
        <v>🟡 Mid</v>
      </c>
    </row>
    <row r="555" spans="1:20" x14ac:dyDescent="0.3">
      <c r="A555" s="17">
        <v>554</v>
      </c>
      <c r="B555" s="3" t="s">
        <v>70</v>
      </c>
      <c r="C555" s="3" t="s">
        <v>36</v>
      </c>
      <c r="D555" s="3" t="s">
        <v>13</v>
      </c>
      <c r="E555" s="3" t="s">
        <v>30</v>
      </c>
      <c r="F555" s="3" t="s">
        <v>47</v>
      </c>
      <c r="G555" s="3" t="s">
        <v>25</v>
      </c>
      <c r="H555" s="3" t="s">
        <v>79</v>
      </c>
      <c r="I555" s="3" t="s">
        <v>45</v>
      </c>
      <c r="J555" s="6">
        <v>2024</v>
      </c>
      <c r="K555" s="3">
        <v>2893.86</v>
      </c>
      <c r="L555" s="3">
        <v>450334</v>
      </c>
      <c r="M555" s="3">
        <v>14368</v>
      </c>
      <c r="N555" s="3">
        <v>1447</v>
      </c>
      <c r="O555" s="3">
        <v>2074.83</v>
      </c>
      <c r="P555" s="9">
        <f t="shared" si="40"/>
        <v>3.1905208134406906</v>
      </c>
      <c r="Q555" s="11">
        <f t="shared" si="41"/>
        <v>0.14440631959910913</v>
      </c>
      <c r="R555" s="13">
        <f t="shared" si="42"/>
        <v>1.4338838977194195</v>
      </c>
      <c r="S555" s="4">
        <f t="shared" si="43"/>
        <v>1.3947455936148987</v>
      </c>
      <c r="T555" s="19" t="str">
        <f t="shared" si="44"/>
        <v>🟢 High</v>
      </c>
    </row>
    <row r="556" spans="1:20" x14ac:dyDescent="0.3">
      <c r="A556" s="16">
        <v>555</v>
      </c>
      <c r="B556" s="1" t="s">
        <v>59</v>
      </c>
      <c r="C556" s="1" t="s">
        <v>21</v>
      </c>
      <c r="D556" s="1" t="s">
        <v>41</v>
      </c>
      <c r="E556" s="1" t="s">
        <v>23</v>
      </c>
      <c r="F556" s="1" t="s">
        <v>47</v>
      </c>
      <c r="G556" s="1" t="s">
        <v>32</v>
      </c>
      <c r="H556" s="1" t="s">
        <v>33</v>
      </c>
      <c r="I556" s="1" t="s">
        <v>34</v>
      </c>
      <c r="J556" s="5">
        <v>2024</v>
      </c>
      <c r="K556" s="1">
        <v>10472.58</v>
      </c>
      <c r="L556" s="1">
        <v>159532</v>
      </c>
      <c r="M556" s="1">
        <v>1159</v>
      </c>
      <c r="N556" s="1">
        <v>92</v>
      </c>
      <c r="O556" s="1">
        <v>8470.7999999999993</v>
      </c>
      <c r="P556" s="8">
        <f t="shared" si="40"/>
        <v>0.72650001253666974</v>
      </c>
      <c r="Q556" s="10">
        <f t="shared" si="41"/>
        <v>7.3087144089732519</v>
      </c>
      <c r="R556" s="12">
        <f t="shared" si="42"/>
        <v>92.073913043478257</v>
      </c>
      <c r="S556" s="2">
        <f t="shared" si="43"/>
        <v>1.2363153421164472</v>
      </c>
      <c r="T556" s="18" t="str">
        <f t="shared" si="44"/>
        <v>🔴 Low</v>
      </c>
    </row>
    <row r="557" spans="1:20" x14ac:dyDescent="0.3">
      <c r="A557" s="17">
        <v>556</v>
      </c>
      <c r="B557" s="3" t="s">
        <v>49</v>
      </c>
      <c r="C557" s="3" t="s">
        <v>21</v>
      </c>
      <c r="D557" s="3" t="s">
        <v>22</v>
      </c>
      <c r="E557" s="3" t="s">
        <v>42</v>
      </c>
      <c r="F557" s="3" t="s">
        <v>31</v>
      </c>
      <c r="G557" s="3" t="s">
        <v>57</v>
      </c>
      <c r="H557" s="3" t="s">
        <v>58</v>
      </c>
      <c r="I557" s="3" t="s">
        <v>27</v>
      </c>
      <c r="J557" s="6">
        <v>2024</v>
      </c>
      <c r="K557" s="3">
        <v>13723.1</v>
      </c>
      <c r="L557" s="3">
        <v>192795</v>
      </c>
      <c r="M557" s="3">
        <v>891</v>
      </c>
      <c r="N557" s="3">
        <v>9</v>
      </c>
      <c r="O557" s="3">
        <v>12148.59</v>
      </c>
      <c r="P557" s="9">
        <f t="shared" si="40"/>
        <v>0.46214891465027619</v>
      </c>
      <c r="Q557" s="11">
        <f t="shared" si="41"/>
        <v>13.634781144781146</v>
      </c>
      <c r="R557" s="13">
        <f t="shared" si="42"/>
        <v>1349.8433333333332</v>
      </c>
      <c r="S557" s="4">
        <f t="shared" si="43"/>
        <v>1.1296043409152832</v>
      </c>
      <c r="T557" s="19" t="str">
        <f t="shared" si="44"/>
        <v>🔴 Low</v>
      </c>
    </row>
    <row r="558" spans="1:20" x14ac:dyDescent="0.3">
      <c r="A558" s="16">
        <v>557</v>
      </c>
      <c r="B558" s="1" t="s">
        <v>94</v>
      </c>
      <c r="C558" s="1" t="s">
        <v>36</v>
      </c>
      <c r="D558" s="1" t="s">
        <v>29</v>
      </c>
      <c r="E558" s="1" t="s">
        <v>61</v>
      </c>
      <c r="F558" s="1" t="s">
        <v>24</v>
      </c>
      <c r="G558" s="1" t="s">
        <v>57</v>
      </c>
      <c r="H558" s="1" t="s">
        <v>44</v>
      </c>
      <c r="I558" s="1" t="s">
        <v>45</v>
      </c>
      <c r="J558" s="5">
        <v>2024</v>
      </c>
      <c r="K558" s="1">
        <v>15958.26</v>
      </c>
      <c r="L558" s="1">
        <v>216740</v>
      </c>
      <c r="M558" s="1">
        <v>5724</v>
      </c>
      <c r="N558" s="1">
        <v>143</v>
      </c>
      <c r="O558" s="1">
        <v>13210.63</v>
      </c>
      <c r="P558" s="8">
        <f t="shared" si="40"/>
        <v>2.640952293070038</v>
      </c>
      <c r="Q558" s="10">
        <f t="shared" si="41"/>
        <v>2.3079367575122292</v>
      </c>
      <c r="R558" s="12">
        <f t="shared" si="42"/>
        <v>92.38202797202797</v>
      </c>
      <c r="S558" s="2">
        <f t="shared" si="43"/>
        <v>1.2079862958844507</v>
      </c>
      <c r="T558" s="18" t="str">
        <f t="shared" si="44"/>
        <v>🟡 Mid</v>
      </c>
    </row>
    <row r="559" spans="1:20" x14ac:dyDescent="0.3">
      <c r="A559" s="17">
        <v>558</v>
      </c>
      <c r="B559" s="3" t="s">
        <v>62</v>
      </c>
      <c r="C559" s="3" t="s">
        <v>21</v>
      </c>
      <c r="D559" s="3" t="s">
        <v>22</v>
      </c>
      <c r="E559" s="3" t="s">
        <v>56</v>
      </c>
      <c r="F559" s="3" t="s">
        <v>24</v>
      </c>
      <c r="G559" s="3" t="s">
        <v>50</v>
      </c>
      <c r="H559" s="3" t="s">
        <v>48</v>
      </c>
      <c r="I559" s="3" t="s">
        <v>34</v>
      </c>
      <c r="J559" s="6">
        <v>2024</v>
      </c>
      <c r="K559" s="3">
        <v>17131.05</v>
      </c>
      <c r="L559" s="3">
        <v>469053</v>
      </c>
      <c r="M559" s="3">
        <v>5933</v>
      </c>
      <c r="N559" s="3">
        <v>70</v>
      </c>
      <c r="O559" s="3">
        <v>10515.06</v>
      </c>
      <c r="P559" s="9">
        <f t="shared" si="40"/>
        <v>1.2648890423896659</v>
      </c>
      <c r="Q559" s="11">
        <f t="shared" si="41"/>
        <v>1.7723006910500589</v>
      </c>
      <c r="R559" s="13">
        <f t="shared" si="42"/>
        <v>150.21514285714284</v>
      </c>
      <c r="S559" s="4">
        <f t="shared" si="43"/>
        <v>1.6291918448396872</v>
      </c>
      <c r="T559" s="19" t="str">
        <f t="shared" si="44"/>
        <v>🔴 Low</v>
      </c>
    </row>
    <row r="560" spans="1:20" x14ac:dyDescent="0.3">
      <c r="A560" s="16">
        <v>559</v>
      </c>
      <c r="B560" s="1" t="s">
        <v>59</v>
      </c>
      <c r="C560" s="1" t="s">
        <v>21</v>
      </c>
      <c r="D560" s="1" t="s">
        <v>46</v>
      </c>
      <c r="E560" s="1" t="s">
        <v>56</v>
      </c>
      <c r="F560" s="1" t="s">
        <v>47</v>
      </c>
      <c r="G560" s="1" t="s">
        <v>25</v>
      </c>
      <c r="H560" s="1" t="s">
        <v>52</v>
      </c>
      <c r="I560" s="1" t="s">
        <v>38</v>
      </c>
      <c r="J560" s="5">
        <v>2024</v>
      </c>
      <c r="K560" s="1">
        <v>10005.370000000001</v>
      </c>
      <c r="L560" s="1">
        <v>119695</v>
      </c>
      <c r="M560" s="1">
        <v>206</v>
      </c>
      <c r="N560" s="1">
        <v>15</v>
      </c>
      <c r="O560" s="1">
        <v>8269.89</v>
      </c>
      <c r="P560" s="8">
        <f t="shared" si="40"/>
        <v>0.17210409791553533</v>
      </c>
      <c r="Q560" s="10">
        <f t="shared" si="41"/>
        <v>40.145097087378637</v>
      </c>
      <c r="R560" s="12">
        <f t="shared" si="42"/>
        <v>551.32599999999991</v>
      </c>
      <c r="S560" s="2">
        <f t="shared" si="43"/>
        <v>1.2098552701426502</v>
      </c>
      <c r="T560" s="18" t="str">
        <f t="shared" si="44"/>
        <v>🔴 Low</v>
      </c>
    </row>
    <row r="561" spans="1:20" x14ac:dyDescent="0.3">
      <c r="A561" s="17">
        <v>560</v>
      </c>
      <c r="B561" s="3" t="s">
        <v>66</v>
      </c>
      <c r="C561" s="3" t="s">
        <v>40</v>
      </c>
      <c r="D561" s="3" t="s">
        <v>29</v>
      </c>
      <c r="E561" s="3" t="s">
        <v>30</v>
      </c>
      <c r="F561" s="3" t="s">
        <v>31</v>
      </c>
      <c r="G561" s="3" t="s">
        <v>57</v>
      </c>
      <c r="H561" s="3" t="s">
        <v>33</v>
      </c>
      <c r="I561" s="3" t="s">
        <v>34</v>
      </c>
      <c r="J561" s="6">
        <v>2024</v>
      </c>
      <c r="K561" s="3">
        <v>10146.48</v>
      </c>
      <c r="L561" s="3">
        <v>401149</v>
      </c>
      <c r="M561" s="3">
        <v>5441</v>
      </c>
      <c r="N561" s="3">
        <v>155</v>
      </c>
      <c r="O561" s="3">
        <v>7591.2</v>
      </c>
      <c r="P561" s="9">
        <f t="shared" si="40"/>
        <v>1.356353873498376</v>
      </c>
      <c r="Q561" s="11">
        <f t="shared" si="41"/>
        <v>1.3951847086932549</v>
      </c>
      <c r="R561" s="13">
        <f t="shared" si="42"/>
        <v>48.975483870967743</v>
      </c>
      <c r="S561" s="4">
        <f t="shared" si="43"/>
        <v>1.3366108125197598</v>
      </c>
      <c r="T561" s="19" t="str">
        <f t="shared" si="44"/>
        <v>🔴 Low</v>
      </c>
    </row>
    <row r="562" spans="1:20" x14ac:dyDescent="0.3">
      <c r="A562" s="16">
        <v>561</v>
      </c>
      <c r="B562" s="1" t="s">
        <v>96</v>
      </c>
      <c r="C562" s="1" t="s">
        <v>40</v>
      </c>
      <c r="D562" s="1" t="s">
        <v>22</v>
      </c>
      <c r="E562" s="1" t="s">
        <v>42</v>
      </c>
      <c r="F562" s="1" t="s">
        <v>31</v>
      </c>
      <c r="G562" s="1" t="s">
        <v>57</v>
      </c>
      <c r="H562" s="1" t="s">
        <v>26</v>
      </c>
      <c r="I562" s="1" t="s">
        <v>27</v>
      </c>
      <c r="J562" s="5">
        <v>2024</v>
      </c>
      <c r="K562" s="1">
        <v>7303.1</v>
      </c>
      <c r="L562" s="1">
        <v>783103</v>
      </c>
      <c r="M562" s="1">
        <v>6770</v>
      </c>
      <c r="N562" s="1">
        <v>97</v>
      </c>
      <c r="O562" s="1">
        <v>5549.19</v>
      </c>
      <c r="P562" s="8">
        <f t="shared" si="40"/>
        <v>0.86450952173596585</v>
      </c>
      <c r="Q562" s="10">
        <f t="shared" si="41"/>
        <v>0.81967355982274737</v>
      </c>
      <c r="R562" s="12">
        <f t="shared" si="42"/>
        <v>57.208144329896903</v>
      </c>
      <c r="S562" s="2">
        <f t="shared" si="43"/>
        <v>1.3160659483636352</v>
      </c>
      <c r="T562" s="18" t="str">
        <f t="shared" si="44"/>
        <v>🔴 Low</v>
      </c>
    </row>
    <row r="563" spans="1:20" x14ac:dyDescent="0.3">
      <c r="A563" s="17">
        <v>562</v>
      </c>
      <c r="B563" s="3" t="s">
        <v>100</v>
      </c>
      <c r="C563" s="3" t="s">
        <v>40</v>
      </c>
      <c r="D563" s="3" t="s">
        <v>13</v>
      </c>
      <c r="E563" s="3" t="s">
        <v>56</v>
      </c>
      <c r="F563" s="3" t="s">
        <v>47</v>
      </c>
      <c r="G563" s="3" t="s">
        <v>57</v>
      </c>
      <c r="H563" s="3" t="s">
        <v>44</v>
      </c>
      <c r="I563" s="3" t="s">
        <v>45</v>
      </c>
      <c r="J563" s="6">
        <v>2023</v>
      </c>
      <c r="K563" s="3">
        <v>5328.47</v>
      </c>
      <c r="L563" s="3">
        <v>684564</v>
      </c>
      <c r="M563" s="3">
        <v>8019</v>
      </c>
      <c r="N563" s="3">
        <v>576</v>
      </c>
      <c r="O563" s="3">
        <v>3387.18</v>
      </c>
      <c r="P563" s="9">
        <f t="shared" si="40"/>
        <v>1.1714025277402844</v>
      </c>
      <c r="Q563" s="11">
        <f t="shared" si="41"/>
        <v>0.42239431350542461</v>
      </c>
      <c r="R563" s="13">
        <f t="shared" si="42"/>
        <v>5.8805208333333328</v>
      </c>
      <c r="S563" s="4">
        <f t="shared" si="43"/>
        <v>1.573128679314356</v>
      </c>
      <c r="T563" s="19" t="str">
        <f t="shared" si="44"/>
        <v>🔴 Low</v>
      </c>
    </row>
    <row r="564" spans="1:20" x14ac:dyDescent="0.3">
      <c r="A564" s="16">
        <v>563</v>
      </c>
      <c r="B564" s="1" t="s">
        <v>103</v>
      </c>
      <c r="C564" s="1" t="s">
        <v>21</v>
      </c>
      <c r="D564" s="1" t="s">
        <v>13</v>
      </c>
      <c r="E564" s="1" t="s">
        <v>42</v>
      </c>
      <c r="F564" s="1" t="s">
        <v>47</v>
      </c>
      <c r="G564" s="1" t="s">
        <v>25</v>
      </c>
      <c r="H564" s="1" t="s">
        <v>68</v>
      </c>
      <c r="I564" s="1" t="s">
        <v>27</v>
      </c>
      <c r="J564" s="5">
        <v>2024</v>
      </c>
      <c r="K564" s="1">
        <v>1228.8599999999999</v>
      </c>
      <c r="L564" s="1">
        <v>694719</v>
      </c>
      <c r="M564" s="1">
        <v>7804</v>
      </c>
      <c r="N564" s="1">
        <v>882</v>
      </c>
      <c r="O564" s="1">
        <v>874.92</v>
      </c>
      <c r="P564" s="8">
        <f t="shared" si="40"/>
        <v>1.1233318795081177</v>
      </c>
      <c r="Q564" s="10">
        <f t="shared" si="41"/>
        <v>0.11211173757047667</v>
      </c>
      <c r="R564" s="12">
        <f t="shared" si="42"/>
        <v>0.99197278911564624</v>
      </c>
      <c r="S564" s="2">
        <f t="shared" si="43"/>
        <v>1.4045398436428473</v>
      </c>
      <c r="T564" s="18" t="str">
        <f t="shared" si="44"/>
        <v>🔴 Low</v>
      </c>
    </row>
    <row r="565" spans="1:20" x14ac:dyDescent="0.3">
      <c r="A565" s="17">
        <v>564</v>
      </c>
      <c r="B565" s="3" t="s">
        <v>53</v>
      </c>
      <c r="C565" s="3" t="s">
        <v>21</v>
      </c>
      <c r="D565" s="3" t="s">
        <v>29</v>
      </c>
      <c r="E565" s="3" t="s">
        <v>42</v>
      </c>
      <c r="F565" s="3" t="s">
        <v>47</v>
      </c>
      <c r="G565" s="3" t="s">
        <v>50</v>
      </c>
      <c r="H565" s="3" t="s">
        <v>79</v>
      </c>
      <c r="I565" s="3" t="s">
        <v>45</v>
      </c>
      <c r="J565" s="6">
        <v>2024</v>
      </c>
      <c r="K565" s="3">
        <v>6787.22</v>
      </c>
      <c r="L565" s="3">
        <v>107472</v>
      </c>
      <c r="M565" s="3">
        <v>225</v>
      </c>
      <c r="N565" s="3">
        <v>7</v>
      </c>
      <c r="O565" s="3">
        <v>4357.5600000000004</v>
      </c>
      <c r="P565" s="9">
        <f t="shared" si="40"/>
        <v>0.20935685573916929</v>
      </c>
      <c r="Q565" s="11">
        <f t="shared" si="41"/>
        <v>19.366933333333336</v>
      </c>
      <c r="R565" s="13">
        <f t="shared" si="42"/>
        <v>622.50857142857149</v>
      </c>
      <c r="S565" s="4">
        <f t="shared" si="43"/>
        <v>1.5575735044382635</v>
      </c>
      <c r="T565" s="19" t="str">
        <f t="shared" si="44"/>
        <v>🔴 Low</v>
      </c>
    </row>
    <row r="566" spans="1:20" x14ac:dyDescent="0.3">
      <c r="A566" s="16">
        <v>565</v>
      </c>
      <c r="B566" s="1" t="s">
        <v>63</v>
      </c>
      <c r="C566" s="1" t="s">
        <v>21</v>
      </c>
      <c r="D566" s="1" t="s">
        <v>13</v>
      </c>
      <c r="E566" s="1" t="s">
        <v>56</v>
      </c>
      <c r="F566" s="1" t="s">
        <v>31</v>
      </c>
      <c r="G566" s="1" t="s">
        <v>43</v>
      </c>
      <c r="H566" s="1" t="s">
        <v>26</v>
      </c>
      <c r="I566" s="1" t="s">
        <v>27</v>
      </c>
      <c r="J566" s="5">
        <v>2024</v>
      </c>
      <c r="K566" s="1">
        <v>7585.02</v>
      </c>
      <c r="L566" s="1">
        <v>462169</v>
      </c>
      <c r="M566" s="1">
        <v>4215</v>
      </c>
      <c r="N566" s="1">
        <v>498</v>
      </c>
      <c r="O566" s="1">
        <v>4790.96</v>
      </c>
      <c r="P566" s="8">
        <f t="shared" si="40"/>
        <v>0.91200405046638777</v>
      </c>
      <c r="Q566" s="10">
        <f t="shared" si="41"/>
        <v>1.1366453143534994</v>
      </c>
      <c r="R566" s="12">
        <f t="shared" si="42"/>
        <v>9.6204016064257036</v>
      </c>
      <c r="S566" s="2">
        <f t="shared" si="43"/>
        <v>1.5831941823768096</v>
      </c>
      <c r="T566" s="18" t="str">
        <f t="shared" si="44"/>
        <v>🔴 Low</v>
      </c>
    </row>
    <row r="567" spans="1:20" x14ac:dyDescent="0.3">
      <c r="A567" s="17">
        <v>566</v>
      </c>
      <c r="B567" s="3" t="s">
        <v>63</v>
      </c>
      <c r="C567" s="3" t="s">
        <v>21</v>
      </c>
      <c r="D567" s="3" t="s">
        <v>13</v>
      </c>
      <c r="E567" s="3" t="s">
        <v>23</v>
      </c>
      <c r="F567" s="3" t="s">
        <v>24</v>
      </c>
      <c r="G567" s="3" t="s">
        <v>43</v>
      </c>
      <c r="H567" s="3" t="s">
        <v>79</v>
      </c>
      <c r="I567" s="3" t="s">
        <v>45</v>
      </c>
      <c r="J567" s="6">
        <v>2024</v>
      </c>
      <c r="K567" s="3">
        <v>16189.76</v>
      </c>
      <c r="L567" s="3">
        <v>659911</v>
      </c>
      <c r="M567" s="3">
        <v>9093</v>
      </c>
      <c r="N567" s="3">
        <v>927</v>
      </c>
      <c r="O567" s="3">
        <v>10339.14</v>
      </c>
      <c r="P567" s="9">
        <f t="shared" si="40"/>
        <v>1.3779130822186629</v>
      </c>
      <c r="Q567" s="11">
        <f t="shared" si="41"/>
        <v>1.1370438799076212</v>
      </c>
      <c r="R567" s="13">
        <f t="shared" si="42"/>
        <v>11.153333333333332</v>
      </c>
      <c r="S567" s="4">
        <f t="shared" si="43"/>
        <v>1.5658710492362036</v>
      </c>
      <c r="T567" s="19" t="str">
        <f t="shared" si="44"/>
        <v>🔴 Low</v>
      </c>
    </row>
    <row r="568" spans="1:20" x14ac:dyDescent="0.3">
      <c r="A568" s="16">
        <v>567</v>
      </c>
      <c r="B568" s="1" t="s">
        <v>103</v>
      </c>
      <c r="C568" s="1" t="s">
        <v>21</v>
      </c>
      <c r="D568" s="1" t="s">
        <v>29</v>
      </c>
      <c r="E568" s="1" t="s">
        <v>23</v>
      </c>
      <c r="F568" s="1" t="s">
        <v>47</v>
      </c>
      <c r="G568" s="1" t="s">
        <v>57</v>
      </c>
      <c r="H568" s="1" t="s">
        <v>79</v>
      </c>
      <c r="I568" s="1" t="s">
        <v>45</v>
      </c>
      <c r="J568" s="5">
        <v>2024</v>
      </c>
      <c r="K568" s="1">
        <v>8828.56</v>
      </c>
      <c r="L568" s="1">
        <v>369187</v>
      </c>
      <c r="M568" s="1">
        <v>3342</v>
      </c>
      <c r="N568" s="1">
        <v>63</v>
      </c>
      <c r="O568" s="1">
        <v>8278.83</v>
      </c>
      <c r="P568" s="8">
        <f t="shared" si="40"/>
        <v>0.90523230774648078</v>
      </c>
      <c r="Q568" s="10">
        <f t="shared" si="41"/>
        <v>2.4772082585278277</v>
      </c>
      <c r="R568" s="12">
        <f t="shared" si="42"/>
        <v>131.41</v>
      </c>
      <c r="S568" s="2">
        <f t="shared" si="43"/>
        <v>1.0664018949537555</v>
      </c>
      <c r="T568" s="18" t="str">
        <f t="shared" si="44"/>
        <v>🔴 Low</v>
      </c>
    </row>
    <row r="569" spans="1:20" x14ac:dyDescent="0.3">
      <c r="A569" s="17">
        <v>568</v>
      </c>
      <c r="B569" s="3" t="s">
        <v>96</v>
      </c>
      <c r="C569" s="3" t="s">
        <v>40</v>
      </c>
      <c r="D569" s="3" t="s">
        <v>46</v>
      </c>
      <c r="E569" s="3" t="s">
        <v>56</v>
      </c>
      <c r="F569" s="3" t="s">
        <v>47</v>
      </c>
      <c r="G569" s="3" t="s">
        <v>43</v>
      </c>
      <c r="H569" s="3" t="s">
        <v>79</v>
      </c>
      <c r="I569" s="3" t="s">
        <v>45</v>
      </c>
      <c r="J569" s="6">
        <v>2024</v>
      </c>
      <c r="K569" s="3">
        <v>13595.42</v>
      </c>
      <c r="L569" s="3">
        <v>579160</v>
      </c>
      <c r="M569" s="3">
        <v>5233</v>
      </c>
      <c r="N569" s="3">
        <v>266</v>
      </c>
      <c r="O569" s="3">
        <v>8263.48</v>
      </c>
      <c r="P569" s="9">
        <f t="shared" si="40"/>
        <v>0.90354996892050543</v>
      </c>
      <c r="Q569" s="11">
        <f t="shared" si="41"/>
        <v>1.5791094974202178</v>
      </c>
      <c r="R569" s="13">
        <f t="shared" si="42"/>
        <v>31.065714285714286</v>
      </c>
      <c r="S569" s="4">
        <f t="shared" si="43"/>
        <v>1.6452414721158641</v>
      </c>
      <c r="T569" s="19" t="str">
        <f t="shared" si="44"/>
        <v>🔴 Low</v>
      </c>
    </row>
    <row r="570" spans="1:20" x14ac:dyDescent="0.3">
      <c r="A570" s="16">
        <v>569</v>
      </c>
      <c r="B570" s="1" t="s">
        <v>49</v>
      </c>
      <c r="C570" s="1" t="s">
        <v>21</v>
      </c>
      <c r="D570" s="1" t="s">
        <v>29</v>
      </c>
      <c r="E570" s="1" t="s">
        <v>56</v>
      </c>
      <c r="F570" s="1" t="s">
        <v>24</v>
      </c>
      <c r="G570" s="1" t="s">
        <v>50</v>
      </c>
      <c r="H570" s="1" t="s">
        <v>52</v>
      </c>
      <c r="I570" s="1" t="s">
        <v>38</v>
      </c>
      <c r="J570" s="5">
        <v>2024</v>
      </c>
      <c r="K570" s="1">
        <v>18725.400000000001</v>
      </c>
      <c r="L570" s="1">
        <v>766911</v>
      </c>
      <c r="M570" s="1">
        <v>2109</v>
      </c>
      <c r="N570" s="1">
        <v>44</v>
      </c>
      <c r="O570" s="1">
        <v>12397.2</v>
      </c>
      <c r="P570" s="8">
        <f t="shared" si="40"/>
        <v>0.274999315435559</v>
      </c>
      <c r="Q570" s="10">
        <f t="shared" si="41"/>
        <v>5.8782361308677098</v>
      </c>
      <c r="R570" s="12">
        <f t="shared" si="42"/>
        <v>281.75454545454545</v>
      </c>
      <c r="S570" s="2">
        <f t="shared" si="43"/>
        <v>1.5104539734778821</v>
      </c>
      <c r="T570" s="18" t="str">
        <f t="shared" si="44"/>
        <v>🔴 Low</v>
      </c>
    </row>
    <row r="571" spans="1:20" x14ac:dyDescent="0.3">
      <c r="A571" s="17">
        <v>570</v>
      </c>
      <c r="B571" s="3" t="s">
        <v>71</v>
      </c>
      <c r="C571" s="3" t="s">
        <v>36</v>
      </c>
      <c r="D571" s="3" t="s">
        <v>41</v>
      </c>
      <c r="E571" s="3" t="s">
        <v>56</v>
      </c>
      <c r="F571" s="3" t="s">
        <v>47</v>
      </c>
      <c r="G571" s="3" t="s">
        <v>57</v>
      </c>
      <c r="H571" s="3" t="s">
        <v>44</v>
      </c>
      <c r="I571" s="3" t="s">
        <v>45</v>
      </c>
      <c r="J571" s="6">
        <v>2023</v>
      </c>
      <c r="K571" s="3">
        <v>16996.36</v>
      </c>
      <c r="L571" s="3">
        <v>284901</v>
      </c>
      <c r="M571" s="3">
        <v>6739</v>
      </c>
      <c r="N571" s="3">
        <v>848</v>
      </c>
      <c r="O571" s="3">
        <v>14809.57</v>
      </c>
      <c r="P571" s="9">
        <f t="shared" si="40"/>
        <v>2.3653830628885122</v>
      </c>
      <c r="Q571" s="11">
        <f t="shared" si="41"/>
        <v>2.1975916308057575</v>
      </c>
      <c r="R571" s="13">
        <f t="shared" si="42"/>
        <v>17.464115566037737</v>
      </c>
      <c r="S571" s="4">
        <f t="shared" si="43"/>
        <v>1.1476606005441077</v>
      </c>
      <c r="T571" s="19" t="str">
        <f t="shared" si="44"/>
        <v>🟡 Mid</v>
      </c>
    </row>
    <row r="572" spans="1:20" x14ac:dyDescent="0.3">
      <c r="A572" s="16">
        <v>571</v>
      </c>
      <c r="B572" s="1" t="s">
        <v>84</v>
      </c>
      <c r="C572" s="1" t="s">
        <v>40</v>
      </c>
      <c r="D572" s="1" t="s">
        <v>41</v>
      </c>
      <c r="E572" s="1" t="s">
        <v>30</v>
      </c>
      <c r="F572" s="1" t="s">
        <v>24</v>
      </c>
      <c r="G572" s="1" t="s">
        <v>25</v>
      </c>
      <c r="H572" s="1" t="s">
        <v>83</v>
      </c>
      <c r="I572" s="1" t="s">
        <v>38</v>
      </c>
      <c r="J572" s="5">
        <v>2023</v>
      </c>
      <c r="K572" s="1">
        <v>5288.94</v>
      </c>
      <c r="L572" s="1">
        <v>330625</v>
      </c>
      <c r="M572" s="1">
        <v>3225</v>
      </c>
      <c r="N572" s="1">
        <v>306</v>
      </c>
      <c r="O572" s="1">
        <v>4610.41</v>
      </c>
      <c r="P572" s="8">
        <f t="shared" si="40"/>
        <v>0.97542533081285443</v>
      </c>
      <c r="Q572" s="10">
        <f t="shared" si="41"/>
        <v>1.4295844961240309</v>
      </c>
      <c r="R572" s="12">
        <f t="shared" si="42"/>
        <v>15.066699346405228</v>
      </c>
      <c r="S572" s="2">
        <f t="shared" si="43"/>
        <v>1.1471734617962392</v>
      </c>
      <c r="T572" s="18" t="str">
        <f t="shared" si="44"/>
        <v>🔴 Low</v>
      </c>
    </row>
    <row r="573" spans="1:20" x14ac:dyDescent="0.3">
      <c r="A573" s="17">
        <v>572</v>
      </c>
      <c r="B573" s="3" t="s">
        <v>97</v>
      </c>
      <c r="C573" s="3" t="s">
        <v>36</v>
      </c>
      <c r="D573" s="3" t="s">
        <v>46</v>
      </c>
      <c r="E573" s="3" t="s">
        <v>23</v>
      </c>
      <c r="F573" s="3" t="s">
        <v>24</v>
      </c>
      <c r="G573" s="3" t="s">
        <v>57</v>
      </c>
      <c r="H573" s="3" t="s">
        <v>52</v>
      </c>
      <c r="I573" s="3" t="s">
        <v>38</v>
      </c>
      <c r="J573" s="6">
        <v>2024</v>
      </c>
      <c r="K573" s="3">
        <v>13344.08</v>
      </c>
      <c r="L573" s="3">
        <v>189533</v>
      </c>
      <c r="M573" s="3">
        <v>5578</v>
      </c>
      <c r="N573" s="3">
        <v>438</v>
      </c>
      <c r="O573" s="3">
        <v>8243.14</v>
      </c>
      <c r="P573" s="9">
        <f t="shared" si="40"/>
        <v>2.9430231147082564</v>
      </c>
      <c r="Q573" s="11">
        <f t="shared" si="41"/>
        <v>1.4777949085693796</v>
      </c>
      <c r="R573" s="13">
        <f t="shared" si="42"/>
        <v>18.819954337899542</v>
      </c>
      <c r="S573" s="4">
        <f t="shared" si="43"/>
        <v>1.6188103077225426</v>
      </c>
      <c r="T573" s="19" t="str">
        <f t="shared" si="44"/>
        <v>🟡 Mid</v>
      </c>
    </row>
    <row r="574" spans="1:20" x14ac:dyDescent="0.3">
      <c r="A574" s="16">
        <v>573</v>
      </c>
      <c r="B574" s="1" t="s">
        <v>53</v>
      </c>
      <c r="C574" s="1" t="s">
        <v>21</v>
      </c>
      <c r="D574" s="1" t="s">
        <v>22</v>
      </c>
      <c r="E574" s="1" t="s">
        <v>42</v>
      </c>
      <c r="F574" s="1" t="s">
        <v>24</v>
      </c>
      <c r="G574" s="1" t="s">
        <v>43</v>
      </c>
      <c r="H574" s="1" t="s">
        <v>79</v>
      </c>
      <c r="I574" s="1" t="s">
        <v>45</v>
      </c>
      <c r="J574" s="5">
        <v>2024</v>
      </c>
      <c r="K574" s="1">
        <v>17409.849999999999</v>
      </c>
      <c r="L574" s="1">
        <v>431777</v>
      </c>
      <c r="M574" s="1">
        <v>5590</v>
      </c>
      <c r="N574" s="1">
        <v>102</v>
      </c>
      <c r="O574" s="1">
        <v>13348.06</v>
      </c>
      <c r="P574" s="8">
        <f t="shared" si="40"/>
        <v>1.2946497844952372</v>
      </c>
      <c r="Q574" s="10">
        <f t="shared" si="41"/>
        <v>2.3878461538461537</v>
      </c>
      <c r="R574" s="12">
        <f t="shared" si="42"/>
        <v>130.86333333333332</v>
      </c>
      <c r="S574" s="2">
        <f t="shared" si="43"/>
        <v>1.3042981526903534</v>
      </c>
      <c r="T574" s="18" t="str">
        <f t="shared" si="44"/>
        <v>🔴 Low</v>
      </c>
    </row>
    <row r="575" spans="1:20" x14ac:dyDescent="0.3">
      <c r="A575" s="17">
        <v>574</v>
      </c>
      <c r="B575" s="3" t="s">
        <v>49</v>
      </c>
      <c r="C575" s="3" t="s">
        <v>21</v>
      </c>
      <c r="D575" s="3" t="s">
        <v>46</v>
      </c>
      <c r="E575" s="3" t="s">
        <v>42</v>
      </c>
      <c r="F575" s="3" t="s">
        <v>31</v>
      </c>
      <c r="G575" s="3" t="s">
        <v>32</v>
      </c>
      <c r="H575" s="3" t="s">
        <v>58</v>
      </c>
      <c r="I575" s="3" t="s">
        <v>27</v>
      </c>
      <c r="J575" s="6">
        <v>2024</v>
      </c>
      <c r="K575" s="3">
        <v>10180.799999999999</v>
      </c>
      <c r="L575" s="3">
        <v>99632</v>
      </c>
      <c r="M575" s="3">
        <v>248</v>
      </c>
      <c r="N575" s="3">
        <v>13</v>
      </c>
      <c r="O575" s="3">
        <v>6631.33</v>
      </c>
      <c r="P575" s="9">
        <f t="shared" si="40"/>
        <v>0.24891601092018625</v>
      </c>
      <c r="Q575" s="11">
        <f t="shared" si="41"/>
        <v>26.739233870967741</v>
      </c>
      <c r="R575" s="13">
        <f t="shared" si="42"/>
        <v>510.1023076923077</v>
      </c>
      <c r="S575" s="4">
        <f t="shared" si="43"/>
        <v>1.5352576330841625</v>
      </c>
      <c r="T575" s="19" t="str">
        <f t="shared" si="44"/>
        <v>🔴 Low</v>
      </c>
    </row>
    <row r="576" spans="1:20" x14ac:dyDescent="0.3">
      <c r="A576" s="16">
        <v>575</v>
      </c>
      <c r="B576" s="1" t="s">
        <v>100</v>
      </c>
      <c r="C576" s="1" t="s">
        <v>40</v>
      </c>
      <c r="D576" s="1" t="s">
        <v>29</v>
      </c>
      <c r="E576" s="1" t="s">
        <v>56</v>
      </c>
      <c r="F576" s="1" t="s">
        <v>31</v>
      </c>
      <c r="G576" s="1" t="s">
        <v>25</v>
      </c>
      <c r="H576" s="1" t="s">
        <v>33</v>
      </c>
      <c r="I576" s="1" t="s">
        <v>34</v>
      </c>
      <c r="J576" s="5">
        <v>2023</v>
      </c>
      <c r="K576" s="1">
        <v>3313.42</v>
      </c>
      <c r="L576" s="1">
        <v>188662</v>
      </c>
      <c r="M576" s="1">
        <v>3187</v>
      </c>
      <c r="N576" s="1">
        <v>70</v>
      </c>
      <c r="O576" s="1">
        <v>3188.89</v>
      </c>
      <c r="P576" s="8">
        <f t="shared" si="40"/>
        <v>1.6892643987660474</v>
      </c>
      <c r="Q576" s="10">
        <f t="shared" si="41"/>
        <v>1.0005930342014433</v>
      </c>
      <c r="R576" s="12">
        <f t="shared" si="42"/>
        <v>45.555571428571426</v>
      </c>
      <c r="S576" s="2">
        <f t="shared" si="43"/>
        <v>1.0390512059055033</v>
      </c>
      <c r="T576" s="18" t="str">
        <f t="shared" si="44"/>
        <v>🟡 Mid</v>
      </c>
    </row>
    <row r="577" spans="1:20" x14ac:dyDescent="0.3">
      <c r="A577" s="17">
        <v>576</v>
      </c>
      <c r="B577" s="3" t="s">
        <v>86</v>
      </c>
      <c r="C577" s="3" t="s">
        <v>36</v>
      </c>
      <c r="D577" s="3" t="s">
        <v>29</v>
      </c>
      <c r="E577" s="3" t="s">
        <v>23</v>
      </c>
      <c r="F577" s="3" t="s">
        <v>31</v>
      </c>
      <c r="G577" s="3" t="s">
        <v>57</v>
      </c>
      <c r="H577" s="3" t="s">
        <v>37</v>
      </c>
      <c r="I577" s="3" t="s">
        <v>38</v>
      </c>
      <c r="J577" s="6">
        <v>2024</v>
      </c>
      <c r="K577" s="3">
        <v>9759.66</v>
      </c>
      <c r="L577" s="3">
        <v>263313</v>
      </c>
      <c r="M577" s="3">
        <v>8400</v>
      </c>
      <c r="N577" s="3">
        <v>326</v>
      </c>
      <c r="O577" s="3">
        <v>9460.64</v>
      </c>
      <c r="P577" s="9">
        <f t="shared" si="40"/>
        <v>3.1901197434232262</v>
      </c>
      <c r="Q577" s="11">
        <f t="shared" si="41"/>
        <v>1.1262666666666665</v>
      </c>
      <c r="R577" s="13">
        <f t="shared" si="42"/>
        <v>29.020368098159508</v>
      </c>
      <c r="S577" s="4">
        <f t="shared" si="43"/>
        <v>1.0316067411929848</v>
      </c>
      <c r="T577" s="19" t="str">
        <f t="shared" si="44"/>
        <v>🟢 High</v>
      </c>
    </row>
    <row r="578" spans="1:20" x14ac:dyDescent="0.3">
      <c r="A578" s="16">
        <v>577</v>
      </c>
      <c r="B578" s="1" t="s">
        <v>99</v>
      </c>
      <c r="C578" s="1" t="s">
        <v>36</v>
      </c>
      <c r="D578" s="1" t="s">
        <v>41</v>
      </c>
      <c r="E578" s="1" t="s">
        <v>23</v>
      </c>
      <c r="F578" s="1" t="s">
        <v>47</v>
      </c>
      <c r="G578" s="1" t="s">
        <v>57</v>
      </c>
      <c r="H578" s="1" t="s">
        <v>44</v>
      </c>
      <c r="I578" s="1" t="s">
        <v>45</v>
      </c>
      <c r="J578" s="5">
        <v>2023</v>
      </c>
      <c r="K578" s="1">
        <v>16908.72</v>
      </c>
      <c r="L578" s="1">
        <v>699391</v>
      </c>
      <c r="M578" s="1">
        <v>19937</v>
      </c>
      <c r="N578" s="1">
        <v>2659</v>
      </c>
      <c r="O578" s="1">
        <v>14914.7</v>
      </c>
      <c r="P578" s="8">
        <f t="shared" ref="P578:P641" si="45">IFERROR(M578/L578*100,0)</f>
        <v>2.8506228990650437</v>
      </c>
      <c r="Q578" s="10">
        <f t="shared" ref="Q578:Q641" si="46">IFERROR(O578/M578,0)</f>
        <v>0.74809148818779159</v>
      </c>
      <c r="R578" s="12">
        <f t="shared" ref="R578:R641" si="47">IFERROR(O578/N578,"-")</f>
        <v>5.6091387739751788</v>
      </c>
      <c r="S578" s="2">
        <f t="shared" ref="S578:S641" si="48">IFERROR(K578/O578,0)</f>
        <v>1.1336949452553522</v>
      </c>
      <c r="T578" s="18" t="str">
        <f t="shared" ref="T578:T641" si="49">IF(P578&gt;=3,"🟢 High",IF(P578&gt;=1.5,"🟡 Mid","🔴 Low"))</f>
        <v>🟡 Mid</v>
      </c>
    </row>
    <row r="579" spans="1:20" x14ac:dyDescent="0.3">
      <c r="A579" s="17">
        <v>578</v>
      </c>
      <c r="B579" s="3" t="s">
        <v>80</v>
      </c>
      <c r="C579" s="3" t="s">
        <v>40</v>
      </c>
      <c r="D579" s="3" t="s">
        <v>13</v>
      </c>
      <c r="E579" s="3" t="s">
        <v>23</v>
      </c>
      <c r="F579" s="3" t="s">
        <v>31</v>
      </c>
      <c r="G579" s="3" t="s">
        <v>57</v>
      </c>
      <c r="H579" s="3" t="s">
        <v>81</v>
      </c>
      <c r="I579" s="3" t="s">
        <v>34</v>
      </c>
      <c r="J579" s="6">
        <v>2023</v>
      </c>
      <c r="K579" s="3">
        <v>17224.12</v>
      </c>
      <c r="L579" s="3">
        <v>412341</v>
      </c>
      <c r="M579" s="3">
        <v>5938</v>
      </c>
      <c r="N579" s="3">
        <v>300</v>
      </c>
      <c r="O579" s="3">
        <v>17284.650000000001</v>
      </c>
      <c r="P579" s="9">
        <f t="shared" si="45"/>
        <v>1.4400702331322861</v>
      </c>
      <c r="Q579" s="11">
        <f t="shared" si="46"/>
        <v>2.9108538228359722</v>
      </c>
      <c r="R579" s="13">
        <f t="shared" si="47"/>
        <v>57.615500000000004</v>
      </c>
      <c r="S579" s="4">
        <f t="shared" si="48"/>
        <v>0.99649804884680904</v>
      </c>
      <c r="T579" s="19" t="str">
        <f t="shared" si="49"/>
        <v>🔴 Low</v>
      </c>
    </row>
    <row r="580" spans="1:20" x14ac:dyDescent="0.3">
      <c r="A580" s="16">
        <v>579</v>
      </c>
      <c r="B580" s="1" t="s">
        <v>77</v>
      </c>
      <c r="C580" s="1" t="s">
        <v>40</v>
      </c>
      <c r="D580" s="1" t="s">
        <v>22</v>
      </c>
      <c r="E580" s="1" t="s">
        <v>30</v>
      </c>
      <c r="F580" s="1" t="s">
        <v>47</v>
      </c>
      <c r="G580" s="1" t="s">
        <v>25</v>
      </c>
      <c r="H580" s="1" t="s">
        <v>26</v>
      </c>
      <c r="I580" s="1" t="s">
        <v>27</v>
      </c>
      <c r="J580" s="5">
        <v>2024</v>
      </c>
      <c r="K580" s="1">
        <v>12811.38</v>
      </c>
      <c r="L580" s="1">
        <v>680733</v>
      </c>
      <c r="M580" s="1">
        <v>10148</v>
      </c>
      <c r="N580" s="1">
        <v>182</v>
      </c>
      <c r="O580" s="1">
        <v>12116.27</v>
      </c>
      <c r="P580" s="8">
        <f t="shared" si="45"/>
        <v>1.490746004674373</v>
      </c>
      <c r="Q580" s="10">
        <f t="shared" si="46"/>
        <v>1.1939564446196296</v>
      </c>
      <c r="R580" s="12">
        <f t="shared" si="47"/>
        <v>66.572912087912087</v>
      </c>
      <c r="S580" s="2">
        <f t="shared" si="48"/>
        <v>1.0573699661694564</v>
      </c>
      <c r="T580" s="18" t="str">
        <f t="shared" si="49"/>
        <v>🔴 Low</v>
      </c>
    </row>
    <row r="581" spans="1:20" x14ac:dyDescent="0.3">
      <c r="A581" s="17">
        <v>580</v>
      </c>
      <c r="B581" s="3" t="s">
        <v>67</v>
      </c>
      <c r="C581" s="3" t="s">
        <v>40</v>
      </c>
      <c r="D581" s="3" t="s">
        <v>41</v>
      </c>
      <c r="E581" s="3" t="s">
        <v>23</v>
      </c>
      <c r="F581" s="3" t="s">
        <v>31</v>
      </c>
      <c r="G581" s="3" t="s">
        <v>50</v>
      </c>
      <c r="H581" s="3" t="s">
        <v>58</v>
      </c>
      <c r="I581" s="3" t="s">
        <v>27</v>
      </c>
      <c r="J581" s="6">
        <v>2023</v>
      </c>
      <c r="K581" s="3">
        <v>14120.4</v>
      </c>
      <c r="L581" s="3">
        <v>535930</v>
      </c>
      <c r="M581" s="3">
        <v>8965</v>
      </c>
      <c r="N581" s="3">
        <v>585</v>
      </c>
      <c r="O581" s="3">
        <v>10968.24</v>
      </c>
      <c r="P581" s="9">
        <f t="shared" si="45"/>
        <v>1.6727930886496372</v>
      </c>
      <c r="Q581" s="11">
        <f t="shared" si="46"/>
        <v>1.2234511991076409</v>
      </c>
      <c r="R581" s="13">
        <f t="shared" si="47"/>
        <v>18.749128205128205</v>
      </c>
      <c r="S581" s="4">
        <f t="shared" si="48"/>
        <v>1.2873897726526771</v>
      </c>
      <c r="T581" s="19" t="str">
        <f t="shared" si="49"/>
        <v>🟡 Mid</v>
      </c>
    </row>
    <row r="582" spans="1:20" x14ac:dyDescent="0.3">
      <c r="A582" s="16">
        <v>581</v>
      </c>
      <c r="B582" s="1" t="s">
        <v>78</v>
      </c>
      <c r="C582" s="1" t="s">
        <v>21</v>
      </c>
      <c r="D582" s="1" t="s">
        <v>41</v>
      </c>
      <c r="E582" s="1" t="s">
        <v>42</v>
      </c>
      <c r="F582" s="1" t="s">
        <v>24</v>
      </c>
      <c r="G582" s="1" t="s">
        <v>25</v>
      </c>
      <c r="H582" s="1" t="s">
        <v>44</v>
      </c>
      <c r="I582" s="1" t="s">
        <v>45</v>
      </c>
      <c r="J582" s="5">
        <v>2024</v>
      </c>
      <c r="K582" s="1">
        <v>15924.88</v>
      </c>
      <c r="L582" s="1">
        <v>147703</v>
      </c>
      <c r="M582" s="1">
        <v>1527</v>
      </c>
      <c r="N582" s="1">
        <v>128</v>
      </c>
      <c r="O582" s="1">
        <v>13406.2</v>
      </c>
      <c r="P582" s="8">
        <f t="shared" si="45"/>
        <v>1.033831404913915</v>
      </c>
      <c r="Q582" s="10">
        <f t="shared" si="46"/>
        <v>8.7794368041912243</v>
      </c>
      <c r="R582" s="12">
        <f t="shared" si="47"/>
        <v>104.73593750000001</v>
      </c>
      <c r="S582" s="2">
        <f t="shared" si="48"/>
        <v>1.1878742671301337</v>
      </c>
      <c r="T582" s="18" t="str">
        <f t="shared" si="49"/>
        <v>🔴 Low</v>
      </c>
    </row>
    <row r="583" spans="1:20" x14ac:dyDescent="0.3">
      <c r="A583" s="17">
        <v>582</v>
      </c>
      <c r="B583" s="3" t="s">
        <v>65</v>
      </c>
      <c r="C583" s="3" t="s">
        <v>36</v>
      </c>
      <c r="D583" s="3" t="s">
        <v>46</v>
      </c>
      <c r="E583" s="3" t="s">
        <v>61</v>
      </c>
      <c r="F583" s="3" t="s">
        <v>31</v>
      </c>
      <c r="G583" s="3" t="s">
        <v>25</v>
      </c>
      <c r="H583" s="3" t="s">
        <v>79</v>
      </c>
      <c r="I583" s="3" t="s">
        <v>45</v>
      </c>
      <c r="J583" s="6">
        <v>2024</v>
      </c>
      <c r="K583" s="3">
        <v>15956.52</v>
      </c>
      <c r="L583" s="3">
        <v>339914</v>
      </c>
      <c r="M583" s="3">
        <v>9539</v>
      </c>
      <c r="N583" s="3">
        <v>639</v>
      </c>
      <c r="O583" s="3">
        <v>15427.92</v>
      </c>
      <c r="P583" s="9">
        <f t="shared" si="45"/>
        <v>2.8062980636278585</v>
      </c>
      <c r="Q583" s="11">
        <f t="shared" si="46"/>
        <v>1.6173519236817278</v>
      </c>
      <c r="R583" s="13">
        <f t="shared" si="47"/>
        <v>24.143849765258217</v>
      </c>
      <c r="S583" s="4">
        <f t="shared" si="48"/>
        <v>1.0342625577524385</v>
      </c>
      <c r="T583" s="19" t="str">
        <f t="shared" si="49"/>
        <v>🟡 Mid</v>
      </c>
    </row>
    <row r="584" spans="1:20" x14ac:dyDescent="0.3">
      <c r="A584" s="16">
        <v>583</v>
      </c>
      <c r="B584" s="1" t="s">
        <v>71</v>
      </c>
      <c r="C584" s="1" t="s">
        <v>36</v>
      </c>
      <c r="D584" s="1" t="s">
        <v>46</v>
      </c>
      <c r="E584" s="1" t="s">
        <v>61</v>
      </c>
      <c r="F584" s="1" t="s">
        <v>47</v>
      </c>
      <c r="G584" s="1" t="s">
        <v>43</v>
      </c>
      <c r="H584" s="1" t="s">
        <v>83</v>
      </c>
      <c r="I584" s="1" t="s">
        <v>38</v>
      </c>
      <c r="J584" s="5">
        <v>2023</v>
      </c>
      <c r="K584" s="1">
        <v>8582.68</v>
      </c>
      <c r="L584" s="1">
        <v>195724</v>
      </c>
      <c r="M584" s="1">
        <v>4733</v>
      </c>
      <c r="N584" s="1">
        <v>426</v>
      </c>
      <c r="O584" s="1">
        <v>7205.71</v>
      </c>
      <c r="P584" s="8">
        <f t="shared" si="45"/>
        <v>2.4182011403813535</v>
      </c>
      <c r="Q584" s="10">
        <f t="shared" si="46"/>
        <v>1.5224403126980774</v>
      </c>
      <c r="R584" s="12">
        <f t="shared" si="47"/>
        <v>16.914812206572769</v>
      </c>
      <c r="S584" s="2">
        <f t="shared" si="48"/>
        <v>1.1910942849490196</v>
      </c>
      <c r="T584" s="18" t="str">
        <f t="shared" si="49"/>
        <v>🟡 Mid</v>
      </c>
    </row>
    <row r="585" spans="1:20" x14ac:dyDescent="0.3">
      <c r="A585" s="17">
        <v>584</v>
      </c>
      <c r="B585" s="3" t="s">
        <v>91</v>
      </c>
      <c r="C585" s="3" t="s">
        <v>36</v>
      </c>
      <c r="D585" s="3" t="s">
        <v>29</v>
      </c>
      <c r="E585" s="3" t="s">
        <v>61</v>
      </c>
      <c r="F585" s="3" t="s">
        <v>31</v>
      </c>
      <c r="G585" s="3" t="s">
        <v>25</v>
      </c>
      <c r="H585" s="3" t="s">
        <v>58</v>
      </c>
      <c r="I585" s="3" t="s">
        <v>27</v>
      </c>
      <c r="J585" s="6">
        <v>2024</v>
      </c>
      <c r="K585" s="3">
        <v>4366.1899999999996</v>
      </c>
      <c r="L585" s="3">
        <v>740325</v>
      </c>
      <c r="M585" s="3">
        <v>22964</v>
      </c>
      <c r="N585" s="3">
        <v>816</v>
      </c>
      <c r="O585" s="3">
        <v>2711.01</v>
      </c>
      <c r="P585" s="9">
        <f t="shared" si="45"/>
        <v>3.1018809306723396</v>
      </c>
      <c r="Q585" s="11">
        <f t="shared" si="46"/>
        <v>0.11805478139696918</v>
      </c>
      <c r="R585" s="13">
        <f t="shared" si="47"/>
        <v>3.3223161764705886</v>
      </c>
      <c r="S585" s="4">
        <f t="shared" si="48"/>
        <v>1.6105399832534735</v>
      </c>
      <c r="T585" s="19" t="str">
        <f t="shared" si="49"/>
        <v>🟢 High</v>
      </c>
    </row>
    <row r="586" spans="1:20" x14ac:dyDescent="0.3">
      <c r="A586" s="16">
        <v>585</v>
      </c>
      <c r="B586" s="1" t="s">
        <v>90</v>
      </c>
      <c r="C586" s="1" t="s">
        <v>21</v>
      </c>
      <c r="D586" s="1" t="s">
        <v>29</v>
      </c>
      <c r="E586" s="1" t="s">
        <v>23</v>
      </c>
      <c r="F586" s="1" t="s">
        <v>24</v>
      </c>
      <c r="G586" s="1" t="s">
        <v>57</v>
      </c>
      <c r="H586" s="1" t="s">
        <v>37</v>
      </c>
      <c r="I586" s="1" t="s">
        <v>38</v>
      </c>
      <c r="J586" s="5">
        <v>2023</v>
      </c>
      <c r="K586" s="1">
        <v>18971.25</v>
      </c>
      <c r="L586" s="1">
        <v>128050</v>
      </c>
      <c r="M586" s="1">
        <v>1675</v>
      </c>
      <c r="N586" s="1">
        <v>55</v>
      </c>
      <c r="O586" s="1">
        <v>18779.25</v>
      </c>
      <c r="P586" s="8">
        <f t="shared" si="45"/>
        <v>1.3080827801639985</v>
      </c>
      <c r="Q586" s="10">
        <f t="shared" si="46"/>
        <v>11.211492537313433</v>
      </c>
      <c r="R586" s="12">
        <f t="shared" si="47"/>
        <v>341.44090909090909</v>
      </c>
      <c r="S586" s="2">
        <f t="shared" si="48"/>
        <v>1.0102240504812492</v>
      </c>
      <c r="T586" s="18" t="str">
        <f t="shared" si="49"/>
        <v>🔴 Low</v>
      </c>
    </row>
    <row r="587" spans="1:20" x14ac:dyDescent="0.3">
      <c r="A587" s="17">
        <v>586</v>
      </c>
      <c r="B587" s="3" t="s">
        <v>53</v>
      </c>
      <c r="C587" s="3" t="s">
        <v>21</v>
      </c>
      <c r="D587" s="3" t="s">
        <v>22</v>
      </c>
      <c r="E587" s="3" t="s">
        <v>30</v>
      </c>
      <c r="F587" s="3" t="s">
        <v>31</v>
      </c>
      <c r="G587" s="3" t="s">
        <v>25</v>
      </c>
      <c r="H587" s="3" t="s">
        <v>83</v>
      </c>
      <c r="I587" s="3" t="s">
        <v>38</v>
      </c>
      <c r="J587" s="6">
        <v>2024</v>
      </c>
      <c r="K587" s="3">
        <v>6115.26</v>
      </c>
      <c r="L587" s="3">
        <v>523172</v>
      </c>
      <c r="M587" s="3">
        <v>3945</v>
      </c>
      <c r="N587" s="3">
        <v>42</v>
      </c>
      <c r="O587" s="3">
        <v>4776.93</v>
      </c>
      <c r="P587" s="9">
        <f t="shared" si="45"/>
        <v>0.75405411604596573</v>
      </c>
      <c r="Q587" s="11">
        <f t="shared" si="46"/>
        <v>1.2108821292775667</v>
      </c>
      <c r="R587" s="13">
        <f t="shared" si="47"/>
        <v>113.73642857142858</v>
      </c>
      <c r="S587" s="4">
        <f t="shared" si="48"/>
        <v>1.2801652944464332</v>
      </c>
      <c r="T587" s="19" t="str">
        <f t="shared" si="49"/>
        <v>🔴 Low</v>
      </c>
    </row>
    <row r="588" spans="1:20" x14ac:dyDescent="0.3">
      <c r="A588" s="16">
        <v>587</v>
      </c>
      <c r="B588" s="1" t="s">
        <v>93</v>
      </c>
      <c r="C588" s="1" t="s">
        <v>36</v>
      </c>
      <c r="D588" s="1" t="s">
        <v>13</v>
      </c>
      <c r="E588" s="1" t="s">
        <v>30</v>
      </c>
      <c r="F588" s="1" t="s">
        <v>47</v>
      </c>
      <c r="G588" s="1" t="s">
        <v>25</v>
      </c>
      <c r="H588" s="1" t="s">
        <v>33</v>
      </c>
      <c r="I588" s="1" t="s">
        <v>34</v>
      </c>
      <c r="J588" s="5">
        <v>2023</v>
      </c>
      <c r="K588" s="1">
        <v>1061.08</v>
      </c>
      <c r="L588" s="1">
        <v>279516</v>
      </c>
      <c r="M588" s="1">
        <v>7965</v>
      </c>
      <c r="N588" s="1">
        <v>536</v>
      </c>
      <c r="O588" s="1">
        <v>896.42</v>
      </c>
      <c r="P588" s="8">
        <f t="shared" si="45"/>
        <v>2.8495685399046922</v>
      </c>
      <c r="Q588" s="10">
        <f t="shared" si="46"/>
        <v>0.11254488386691776</v>
      </c>
      <c r="R588" s="12">
        <f t="shared" si="47"/>
        <v>1.6724253731343284</v>
      </c>
      <c r="S588" s="2">
        <f t="shared" si="48"/>
        <v>1.1836862185136432</v>
      </c>
      <c r="T588" s="18" t="str">
        <f t="shared" si="49"/>
        <v>🟡 Mid</v>
      </c>
    </row>
    <row r="589" spans="1:20" x14ac:dyDescent="0.3">
      <c r="A589" s="17">
        <v>588</v>
      </c>
      <c r="B589" s="3" t="s">
        <v>53</v>
      </c>
      <c r="C589" s="3" t="s">
        <v>21</v>
      </c>
      <c r="D589" s="3" t="s">
        <v>22</v>
      </c>
      <c r="E589" s="3" t="s">
        <v>42</v>
      </c>
      <c r="F589" s="3" t="s">
        <v>47</v>
      </c>
      <c r="G589" s="3" t="s">
        <v>25</v>
      </c>
      <c r="H589" s="3" t="s">
        <v>37</v>
      </c>
      <c r="I589" s="3" t="s">
        <v>38</v>
      </c>
      <c r="J589" s="6">
        <v>2024</v>
      </c>
      <c r="K589" s="3">
        <v>13893.62</v>
      </c>
      <c r="L589" s="3">
        <v>752986</v>
      </c>
      <c r="M589" s="3">
        <v>9376</v>
      </c>
      <c r="N589" s="3">
        <v>100</v>
      </c>
      <c r="O589" s="3">
        <v>10806.21</v>
      </c>
      <c r="P589" s="9">
        <f t="shared" si="45"/>
        <v>1.245175873123803</v>
      </c>
      <c r="Q589" s="11">
        <f t="shared" si="46"/>
        <v>1.1525394624573377</v>
      </c>
      <c r="R589" s="13">
        <f t="shared" si="47"/>
        <v>108.06209999999999</v>
      </c>
      <c r="S589" s="4">
        <f t="shared" si="48"/>
        <v>1.2857070147628078</v>
      </c>
      <c r="T589" s="19" t="str">
        <f t="shared" si="49"/>
        <v>🔴 Low</v>
      </c>
    </row>
    <row r="590" spans="1:20" x14ac:dyDescent="0.3">
      <c r="A590" s="16">
        <v>589</v>
      </c>
      <c r="B590" s="1" t="s">
        <v>59</v>
      </c>
      <c r="C590" s="1" t="s">
        <v>21</v>
      </c>
      <c r="D590" s="1" t="s">
        <v>22</v>
      </c>
      <c r="E590" s="1" t="s">
        <v>42</v>
      </c>
      <c r="F590" s="1" t="s">
        <v>31</v>
      </c>
      <c r="G590" s="1" t="s">
        <v>57</v>
      </c>
      <c r="H590" s="1" t="s">
        <v>68</v>
      </c>
      <c r="I590" s="1" t="s">
        <v>27</v>
      </c>
      <c r="J590" s="5">
        <v>2024</v>
      </c>
      <c r="K590" s="1">
        <v>18655.759999999998</v>
      </c>
      <c r="L590" s="1">
        <v>498808</v>
      </c>
      <c r="M590" s="1">
        <v>10566</v>
      </c>
      <c r="N590" s="1">
        <v>201</v>
      </c>
      <c r="O590" s="1">
        <v>18771.95</v>
      </c>
      <c r="P590" s="8">
        <f t="shared" si="45"/>
        <v>2.1182499077801475</v>
      </c>
      <c r="Q590" s="10">
        <f t="shared" si="46"/>
        <v>1.7766373272761689</v>
      </c>
      <c r="R590" s="12">
        <f t="shared" si="47"/>
        <v>93.392786069651748</v>
      </c>
      <c r="S590" s="2">
        <f t="shared" si="48"/>
        <v>0.99381044590466083</v>
      </c>
      <c r="T590" s="18" t="str">
        <f t="shared" si="49"/>
        <v>🟡 Mid</v>
      </c>
    </row>
    <row r="591" spans="1:20" x14ac:dyDescent="0.3">
      <c r="A591" s="17">
        <v>590</v>
      </c>
      <c r="B591" s="3" t="s">
        <v>62</v>
      </c>
      <c r="C591" s="3" t="s">
        <v>21</v>
      </c>
      <c r="D591" s="3" t="s">
        <v>22</v>
      </c>
      <c r="E591" s="3" t="s">
        <v>23</v>
      </c>
      <c r="F591" s="3" t="s">
        <v>31</v>
      </c>
      <c r="G591" s="3" t="s">
        <v>32</v>
      </c>
      <c r="H591" s="3" t="s">
        <v>33</v>
      </c>
      <c r="I591" s="3" t="s">
        <v>34</v>
      </c>
      <c r="J591" s="6">
        <v>2024</v>
      </c>
      <c r="K591" s="3">
        <v>19561.72</v>
      </c>
      <c r="L591" s="3">
        <v>708869</v>
      </c>
      <c r="M591" s="3">
        <v>354</v>
      </c>
      <c r="N591" s="3">
        <v>3</v>
      </c>
      <c r="O591" s="3">
        <v>19690.52</v>
      </c>
      <c r="P591" s="9">
        <f t="shared" si="45"/>
        <v>4.9938705176838037E-2</v>
      </c>
      <c r="Q591" s="11">
        <f t="shared" si="46"/>
        <v>55.622937853107345</v>
      </c>
      <c r="R591" s="13">
        <f t="shared" si="47"/>
        <v>6563.5066666666671</v>
      </c>
      <c r="S591" s="4">
        <f t="shared" si="48"/>
        <v>0.99345878117997899</v>
      </c>
      <c r="T591" s="19" t="str">
        <f t="shared" si="49"/>
        <v>🔴 Low</v>
      </c>
    </row>
    <row r="592" spans="1:20" x14ac:dyDescent="0.3">
      <c r="A592" s="16">
        <v>591</v>
      </c>
      <c r="B592" s="1" t="s">
        <v>62</v>
      </c>
      <c r="C592" s="1" t="s">
        <v>21</v>
      </c>
      <c r="D592" s="1" t="s">
        <v>29</v>
      </c>
      <c r="E592" s="1" t="s">
        <v>30</v>
      </c>
      <c r="F592" s="1" t="s">
        <v>47</v>
      </c>
      <c r="G592" s="1" t="s">
        <v>25</v>
      </c>
      <c r="H592" s="1" t="s">
        <v>81</v>
      </c>
      <c r="I592" s="1" t="s">
        <v>34</v>
      </c>
      <c r="J592" s="5">
        <v>2024</v>
      </c>
      <c r="K592" s="1">
        <v>18641.38</v>
      </c>
      <c r="L592" s="1">
        <v>495822</v>
      </c>
      <c r="M592" s="1">
        <v>4934</v>
      </c>
      <c r="N592" s="1">
        <v>127</v>
      </c>
      <c r="O592" s="1">
        <v>12295</v>
      </c>
      <c r="P592" s="8">
        <f t="shared" si="45"/>
        <v>0.9951151824646749</v>
      </c>
      <c r="Q592" s="10">
        <f t="shared" si="46"/>
        <v>2.4918929874341305</v>
      </c>
      <c r="R592" s="12">
        <f t="shared" si="47"/>
        <v>96.811023622047244</v>
      </c>
      <c r="S592" s="2">
        <f t="shared" si="48"/>
        <v>1.5161756811712079</v>
      </c>
      <c r="T592" s="18" t="str">
        <f t="shared" si="49"/>
        <v>🔴 Low</v>
      </c>
    </row>
    <row r="593" spans="1:20" x14ac:dyDescent="0.3">
      <c r="A593" s="17">
        <v>592</v>
      </c>
      <c r="B593" s="3" t="s">
        <v>72</v>
      </c>
      <c r="C593" s="3" t="s">
        <v>36</v>
      </c>
      <c r="D593" s="3" t="s">
        <v>22</v>
      </c>
      <c r="E593" s="3" t="s">
        <v>30</v>
      </c>
      <c r="F593" s="3" t="s">
        <v>47</v>
      </c>
      <c r="G593" s="3" t="s">
        <v>43</v>
      </c>
      <c r="H593" s="3" t="s">
        <v>54</v>
      </c>
      <c r="I593" s="3" t="s">
        <v>45</v>
      </c>
      <c r="J593" s="6">
        <v>2024</v>
      </c>
      <c r="K593" s="3">
        <v>18561.62</v>
      </c>
      <c r="L593" s="3">
        <v>301668</v>
      </c>
      <c r="M593" s="3">
        <v>9418</v>
      </c>
      <c r="N593" s="3">
        <v>174</v>
      </c>
      <c r="O593" s="3">
        <v>13188.98</v>
      </c>
      <c r="P593" s="9">
        <f t="shared" si="45"/>
        <v>3.1219751514910432</v>
      </c>
      <c r="Q593" s="11">
        <f t="shared" si="46"/>
        <v>1.4004013590995965</v>
      </c>
      <c r="R593" s="13">
        <f t="shared" si="47"/>
        <v>75.798735632183906</v>
      </c>
      <c r="S593" s="4">
        <f t="shared" si="48"/>
        <v>1.4073582642478797</v>
      </c>
      <c r="T593" s="19" t="str">
        <f t="shared" si="49"/>
        <v>🟢 High</v>
      </c>
    </row>
    <row r="594" spans="1:20" x14ac:dyDescent="0.3">
      <c r="A594" s="16">
        <v>593</v>
      </c>
      <c r="B594" s="1" t="s">
        <v>96</v>
      </c>
      <c r="C594" s="1" t="s">
        <v>40</v>
      </c>
      <c r="D594" s="1" t="s">
        <v>41</v>
      </c>
      <c r="E594" s="1" t="s">
        <v>30</v>
      </c>
      <c r="F594" s="1" t="s">
        <v>47</v>
      </c>
      <c r="G594" s="1" t="s">
        <v>50</v>
      </c>
      <c r="H594" s="1" t="s">
        <v>26</v>
      </c>
      <c r="I594" s="1" t="s">
        <v>27</v>
      </c>
      <c r="J594" s="5">
        <v>2024</v>
      </c>
      <c r="K594" s="1">
        <v>1537.83</v>
      </c>
      <c r="L594" s="1">
        <v>160840</v>
      </c>
      <c r="M594" s="1">
        <v>3055</v>
      </c>
      <c r="N594" s="1">
        <v>298</v>
      </c>
      <c r="O594" s="1">
        <v>1028.3399999999999</v>
      </c>
      <c r="P594" s="8">
        <f t="shared" si="45"/>
        <v>1.8994031335488684</v>
      </c>
      <c r="Q594" s="10">
        <f t="shared" si="46"/>
        <v>0.33660883797054009</v>
      </c>
      <c r="R594" s="12">
        <f t="shared" si="47"/>
        <v>3.4508053691275165</v>
      </c>
      <c r="S594" s="2">
        <f t="shared" si="48"/>
        <v>1.4954489760196044</v>
      </c>
      <c r="T594" s="18" t="str">
        <f t="shared" si="49"/>
        <v>🟡 Mid</v>
      </c>
    </row>
    <row r="595" spans="1:20" x14ac:dyDescent="0.3">
      <c r="A595" s="17">
        <v>594</v>
      </c>
      <c r="B595" s="3" t="s">
        <v>82</v>
      </c>
      <c r="C595" s="3" t="s">
        <v>40</v>
      </c>
      <c r="D595" s="3" t="s">
        <v>22</v>
      </c>
      <c r="E595" s="3" t="s">
        <v>56</v>
      </c>
      <c r="F595" s="3" t="s">
        <v>24</v>
      </c>
      <c r="G595" s="3" t="s">
        <v>50</v>
      </c>
      <c r="H595" s="3" t="s">
        <v>37</v>
      </c>
      <c r="I595" s="3" t="s">
        <v>38</v>
      </c>
      <c r="J595" s="6">
        <v>2024</v>
      </c>
      <c r="K595" s="3">
        <v>9426.31</v>
      </c>
      <c r="L595" s="3">
        <v>122955</v>
      </c>
      <c r="M595" s="3">
        <v>2098</v>
      </c>
      <c r="N595" s="3">
        <v>37</v>
      </c>
      <c r="O595" s="3">
        <v>9087.7999999999993</v>
      </c>
      <c r="P595" s="9">
        <f t="shared" si="45"/>
        <v>1.7063153186125006</v>
      </c>
      <c r="Q595" s="11">
        <f t="shared" si="46"/>
        <v>4.3316491897044802</v>
      </c>
      <c r="R595" s="13">
        <f t="shared" si="47"/>
        <v>245.6162162162162</v>
      </c>
      <c r="S595" s="4">
        <f t="shared" si="48"/>
        <v>1.0372488391029733</v>
      </c>
      <c r="T595" s="19" t="str">
        <f t="shared" si="49"/>
        <v>🟡 Mid</v>
      </c>
    </row>
    <row r="596" spans="1:20" x14ac:dyDescent="0.3">
      <c r="A596" s="16">
        <v>595</v>
      </c>
      <c r="B596" s="1" t="s">
        <v>72</v>
      </c>
      <c r="C596" s="1" t="s">
        <v>36</v>
      </c>
      <c r="D596" s="1" t="s">
        <v>22</v>
      </c>
      <c r="E596" s="1" t="s">
        <v>30</v>
      </c>
      <c r="F596" s="1" t="s">
        <v>47</v>
      </c>
      <c r="G596" s="1" t="s">
        <v>25</v>
      </c>
      <c r="H596" s="1" t="s">
        <v>26</v>
      </c>
      <c r="I596" s="1" t="s">
        <v>27</v>
      </c>
      <c r="J596" s="5">
        <v>2024</v>
      </c>
      <c r="K596" s="1">
        <v>11483.32</v>
      </c>
      <c r="L596" s="1">
        <v>700350</v>
      </c>
      <c r="M596" s="1">
        <v>15630</v>
      </c>
      <c r="N596" s="1">
        <v>305</v>
      </c>
      <c r="O596" s="1">
        <v>9426.9599999999991</v>
      </c>
      <c r="P596" s="8">
        <f t="shared" si="45"/>
        <v>2.2317412722210324</v>
      </c>
      <c r="Q596" s="10">
        <f t="shared" si="46"/>
        <v>0.6031324376199616</v>
      </c>
      <c r="R596" s="12">
        <f t="shared" si="47"/>
        <v>30.908065573770489</v>
      </c>
      <c r="S596" s="2">
        <f t="shared" si="48"/>
        <v>1.2181360693160892</v>
      </c>
      <c r="T596" s="18" t="str">
        <f t="shared" si="49"/>
        <v>🟡 Mid</v>
      </c>
    </row>
    <row r="597" spans="1:20" x14ac:dyDescent="0.3">
      <c r="A597" s="17">
        <v>596</v>
      </c>
      <c r="B597" s="3" t="s">
        <v>69</v>
      </c>
      <c r="C597" s="3" t="s">
        <v>21</v>
      </c>
      <c r="D597" s="3" t="s">
        <v>41</v>
      </c>
      <c r="E597" s="3" t="s">
        <v>42</v>
      </c>
      <c r="F597" s="3" t="s">
        <v>24</v>
      </c>
      <c r="G597" s="3" t="s">
        <v>50</v>
      </c>
      <c r="H597" s="3" t="s">
        <v>44</v>
      </c>
      <c r="I597" s="3" t="s">
        <v>45</v>
      </c>
      <c r="J597" s="6">
        <v>2023</v>
      </c>
      <c r="K597" s="3">
        <v>17803.669999999998</v>
      </c>
      <c r="L597" s="3">
        <v>32223</v>
      </c>
      <c r="M597" s="3">
        <v>116</v>
      </c>
      <c r="N597" s="3">
        <v>9</v>
      </c>
      <c r="O597" s="3">
        <v>18020.169999999998</v>
      </c>
      <c r="P597" s="9">
        <f t="shared" si="45"/>
        <v>0.35999131055457279</v>
      </c>
      <c r="Q597" s="11">
        <f t="shared" si="46"/>
        <v>155.34629310344826</v>
      </c>
      <c r="R597" s="13">
        <f t="shared" si="47"/>
        <v>2002.241111111111</v>
      </c>
      <c r="S597" s="4">
        <f t="shared" si="48"/>
        <v>0.98798568492972039</v>
      </c>
      <c r="T597" s="19" t="str">
        <f t="shared" si="49"/>
        <v>🔴 Low</v>
      </c>
    </row>
    <row r="598" spans="1:20" x14ac:dyDescent="0.3">
      <c r="A598" s="16">
        <v>597</v>
      </c>
      <c r="B598" s="1" t="s">
        <v>35</v>
      </c>
      <c r="C598" s="1" t="s">
        <v>36</v>
      </c>
      <c r="D598" s="1" t="s">
        <v>13</v>
      </c>
      <c r="E598" s="1" t="s">
        <v>61</v>
      </c>
      <c r="F598" s="1" t="s">
        <v>24</v>
      </c>
      <c r="G598" s="1" t="s">
        <v>43</v>
      </c>
      <c r="H598" s="1" t="s">
        <v>26</v>
      </c>
      <c r="I598" s="1" t="s">
        <v>27</v>
      </c>
      <c r="J598" s="5">
        <v>2023</v>
      </c>
      <c r="K598" s="1">
        <v>2080.73</v>
      </c>
      <c r="L598" s="1">
        <v>747084</v>
      </c>
      <c r="M598" s="1">
        <v>18706</v>
      </c>
      <c r="N598" s="1">
        <v>2186</v>
      </c>
      <c r="O598" s="1">
        <v>1767.72</v>
      </c>
      <c r="P598" s="8">
        <f t="shared" si="45"/>
        <v>2.5038683735697727</v>
      </c>
      <c r="Q598" s="10">
        <f t="shared" si="46"/>
        <v>9.450016037634984E-2</v>
      </c>
      <c r="R598" s="12">
        <f t="shared" si="47"/>
        <v>0.80865507776761214</v>
      </c>
      <c r="S598" s="2">
        <f t="shared" si="48"/>
        <v>1.1770698979476388</v>
      </c>
      <c r="T598" s="18" t="str">
        <f t="shared" si="49"/>
        <v>🟡 Mid</v>
      </c>
    </row>
    <row r="599" spans="1:20" x14ac:dyDescent="0.3">
      <c r="A599" s="17">
        <v>598</v>
      </c>
      <c r="B599" s="3" t="s">
        <v>99</v>
      </c>
      <c r="C599" s="3" t="s">
        <v>36</v>
      </c>
      <c r="D599" s="3" t="s">
        <v>22</v>
      </c>
      <c r="E599" s="3" t="s">
        <v>61</v>
      </c>
      <c r="F599" s="3" t="s">
        <v>47</v>
      </c>
      <c r="G599" s="3" t="s">
        <v>43</v>
      </c>
      <c r="H599" s="3" t="s">
        <v>54</v>
      </c>
      <c r="I599" s="3" t="s">
        <v>45</v>
      </c>
      <c r="J599" s="6">
        <v>2023</v>
      </c>
      <c r="K599" s="3">
        <v>4621.6499999999996</v>
      </c>
      <c r="L599" s="3">
        <v>56047</v>
      </c>
      <c r="M599" s="3">
        <v>1309</v>
      </c>
      <c r="N599" s="3">
        <v>22</v>
      </c>
      <c r="O599" s="3">
        <v>3322.23</v>
      </c>
      <c r="P599" s="9">
        <f t="shared" si="45"/>
        <v>2.335539814798294</v>
      </c>
      <c r="Q599" s="11">
        <f t="shared" si="46"/>
        <v>2.5379908326967149</v>
      </c>
      <c r="R599" s="13">
        <f t="shared" si="47"/>
        <v>151.01045454545454</v>
      </c>
      <c r="S599" s="4">
        <f t="shared" si="48"/>
        <v>1.3911288502000161</v>
      </c>
      <c r="T599" s="19" t="str">
        <f t="shared" si="49"/>
        <v>🟡 Mid</v>
      </c>
    </row>
    <row r="600" spans="1:20" x14ac:dyDescent="0.3">
      <c r="A600" s="16">
        <v>599</v>
      </c>
      <c r="B600" s="1" t="s">
        <v>70</v>
      </c>
      <c r="C600" s="1" t="s">
        <v>36</v>
      </c>
      <c r="D600" s="1" t="s">
        <v>29</v>
      </c>
      <c r="E600" s="1" t="s">
        <v>61</v>
      </c>
      <c r="F600" s="1" t="s">
        <v>47</v>
      </c>
      <c r="G600" s="1" t="s">
        <v>57</v>
      </c>
      <c r="H600" s="1" t="s">
        <v>33</v>
      </c>
      <c r="I600" s="1" t="s">
        <v>34</v>
      </c>
      <c r="J600" s="5">
        <v>2024</v>
      </c>
      <c r="K600" s="1">
        <v>3971.21</v>
      </c>
      <c r="L600" s="1">
        <v>423295</v>
      </c>
      <c r="M600" s="1">
        <v>15358</v>
      </c>
      <c r="N600" s="1">
        <v>228</v>
      </c>
      <c r="O600" s="1">
        <v>3682.85</v>
      </c>
      <c r="P600" s="8">
        <f t="shared" si="45"/>
        <v>3.6282025537745546</v>
      </c>
      <c r="Q600" s="10">
        <f t="shared" si="46"/>
        <v>0.23980010418023179</v>
      </c>
      <c r="R600" s="12">
        <f t="shared" si="47"/>
        <v>16.152850877192982</v>
      </c>
      <c r="S600" s="2">
        <f t="shared" si="48"/>
        <v>1.0782980572111274</v>
      </c>
      <c r="T600" s="18" t="str">
        <f t="shared" si="49"/>
        <v>🟢 High</v>
      </c>
    </row>
    <row r="601" spans="1:20" x14ac:dyDescent="0.3">
      <c r="A601" s="17">
        <v>600</v>
      </c>
      <c r="B601" s="3" t="s">
        <v>92</v>
      </c>
      <c r="C601" s="3" t="s">
        <v>40</v>
      </c>
      <c r="D601" s="3" t="s">
        <v>22</v>
      </c>
      <c r="E601" s="3" t="s">
        <v>23</v>
      </c>
      <c r="F601" s="3" t="s">
        <v>47</v>
      </c>
      <c r="G601" s="3" t="s">
        <v>50</v>
      </c>
      <c r="H601" s="3" t="s">
        <v>54</v>
      </c>
      <c r="I601" s="3" t="s">
        <v>45</v>
      </c>
      <c r="J601" s="6">
        <v>2024</v>
      </c>
      <c r="K601" s="3">
        <v>18122.82</v>
      </c>
      <c r="L601" s="3">
        <v>637829</v>
      </c>
      <c r="M601" s="3">
        <v>13520</v>
      </c>
      <c r="N601" s="3">
        <v>94</v>
      </c>
      <c r="O601" s="3">
        <v>15939.36</v>
      </c>
      <c r="P601" s="9">
        <f t="shared" si="45"/>
        <v>2.1196903872354502</v>
      </c>
      <c r="Q601" s="11">
        <f t="shared" si="46"/>
        <v>1.1789467455621303</v>
      </c>
      <c r="R601" s="13">
        <f t="shared" si="47"/>
        <v>169.56765957446808</v>
      </c>
      <c r="S601" s="4">
        <f t="shared" si="48"/>
        <v>1.1369854247598397</v>
      </c>
      <c r="T601" s="19" t="str">
        <f t="shared" si="49"/>
        <v>🟡 Mid</v>
      </c>
    </row>
    <row r="602" spans="1:20" x14ac:dyDescent="0.3">
      <c r="A602" s="16">
        <v>601</v>
      </c>
      <c r="B602" s="1" t="s">
        <v>87</v>
      </c>
      <c r="C602" s="1" t="s">
        <v>40</v>
      </c>
      <c r="D602" s="1" t="s">
        <v>41</v>
      </c>
      <c r="E602" s="1" t="s">
        <v>56</v>
      </c>
      <c r="F602" s="1" t="s">
        <v>47</v>
      </c>
      <c r="G602" s="1" t="s">
        <v>50</v>
      </c>
      <c r="H602" s="1" t="s">
        <v>52</v>
      </c>
      <c r="I602" s="1" t="s">
        <v>38</v>
      </c>
      <c r="J602" s="5">
        <v>2024</v>
      </c>
      <c r="K602" s="1">
        <v>2259.34</v>
      </c>
      <c r="L602" s="1">
        <v>448061</v>
      </c>
      <c r="M602" s="1">
        <v>8324</v>
      </c>
      <c r="N602" s="1">
        <v>788</v>
      </c>
      <c r="O602" s="1">
        <v>1759.86</v>
      </c>
      <c r="P602" s="8">
        <f t="shared" si="45"/>
        <v>1.8577827572584984</v>
      </c>
      <c r="Q602" s="10">
        <f t="shared" si="46"/>
        <v>0.21141999038923592</v>
      </c>
      <c r="R602" s="12">
        <f t="shared" si="47"/>
        <v>2.2333248730964468</v>
      </c>
      <c r="S602" s="2">
        <f t="shared" si="48"/>
        <v>1.2838180309797371</v>
      </c>
      <c r="T602" s="18" t="str">
        <f t="shared" si="49"/>
        <v>🟡 Mid</v>
      </c>
    </row>
    <row r="603" spans="1:20" x14ac:dyDescent="0.3">
      <c r="A603" s="17">
        <v>602</v>
      </c>
      <c r="B603" s="3" t="s">
        <v>99</v>
      </c>
      <c r="C603" s="3" t="s">
        <v>36</v>
      </c>
      <c r="D603" s="3" t="s">
        <v>41</v>
      </c>
      <c r="E603" s="3" t="s">
        <v>30</v>
      </c>
      <c r="F603" s="3" t="s">
        <v>31</v>
      </c>
      <c r="G603" s="3" t="s">
        <v>25</v>
      </c>
      <c r="H603" s="3" t="s">
        <v>48</v>
      </c>
      <c r="I603" s="3" t="s">
        <v>34</v>
      </c>
      <c r="J603" s="6">
        <v>2023</v>
      </c>
      <c r="K603" s="3">
        <v>6168.71</v>
      </c>
      <c r="L603" s="3">
        <v>463600</v>
      </c>
      <c r="M603" s="3">
        <v>10014</v>
      </c>
      <c r="N603" s="3">
        <v>664</v>
      </c>
      <c r="O603" s="3">
        <v>5777.91</v>
      </c>
      <c r="P603" s="9">
        <f t="shared" si="45"/>
        <v>2.160051768766178</v>
      </c>
      <c r="Q603" s="11">
        <f t="shared" si="46"/>
        <v>0.57698322348711806</v>
      </c>
      <c r="R603" s="13">
        <f t="shared" si="47"/>
        <v>8.7016716867469874</v>
      </c>
      <c r="S603" s="4">
        <f t="shared" si="48"/>
        <v>1.0676369136937058</v>
      </c>
      <c r="T603" s="19" t="str">
        <f t="shared" si="49"/>
        <v>🟡 Mid</v>
      </c>
    </row>
    <row r="604" spans="1:20" x14ac:dyDescent="0.3">
      <c r="A604" s="16">
        <v>603</v>
      </c>
      <c r="B604" s="1" t="s">
        <v>92</v>
      </c>
      <c r="C604" s="1" t="s">
        <v>40</v>
      </c>
      <c r="D604" s="1" t="s">
        <v>46</v>
      </c>
      <c r="E604" s="1" t="s">
        <v>23</v>
      </c>
      <c r="F604" s="1" t="s">
        <v>24</v>
      </c>
      <c r="G604" s="1" t="s">
        <v>32</v>
      </c>
      <c r="H604" s="1" t="s">
        <v>33</v>
      </c>
      <c r="I604" s="1" t="s">
        <v>34</v>
      </c>
      <c r="J604" s="5">
        <v>2024</v>
      </c>
      <c r="K604" s="1">
        <v>11586.45</v>
      </c>
      <c r="L604" s="1">
        <v>582759</v>
      </c>
      <c r="M604" s="1">
        <v>10108</v>
      </c>
      <c r="N604" s="1">
        <v>469</v>
      </c>
      <c r="O604" s="1">
        <v>9019.6299999999992</v>
      </c>
      <c r="P604" s="8">
        <f t="shared" si="45"/>
        <v>1.7345077467701056</v>
      </c>
      <c r="Q604" s="10">
        <f t="shared" si="46"/>
        <v>0.89232588049070038</v>
      </c>
      <c r="R604" s="12">
        <f t="shared" si="47"/>
        <v>19.231620469083154</v>
      </c>
      <c r="S604" s="2">
        <f t="shared" si="48"/>
        <v>1.2845815183106182</v>
      </c>
      <c r="T604" s="18" t="str">
        <f t="shared" si="49"/>
        <v>🟡 Mid</v>
      </c>
    </row>
    <row r="605" spans="1:20" x14ac:dyDescent="0.3">
      <c r="A605" s="17">
        <v>604</v>
      </c>
      <c r="B605" s="3" t="s">
        <v>89</v>
      </c>
      <c r="C605" s="3" t="s">
        <v>36</v>
      </c>
      <c r="D605" s="3" t="s">
        <v>29</v>
      </c>
      <c r="E605" s="3" t="s">
        <v>23</v>
      </c>
      <c r="F605" s="3" t="s">
        <v>47</v>
      </c>
      <c r="G605" s="3" t="s">
        <v>43</v>
      </c>
      <c r="H605" s="3" t="s">
        <v>79</v>
      </c>
      <c r="I605" s="3" t="s">
        <v>45</v>
      </c>
      <c r="J605" s="6">
        <v>2023</v>
      </c>
      <c r="K605" s="3">
        <v>15488.61</v>
      </c>
      <c r="L605" s="3">
        <v>22058</v>
      </c>
      <c r="M605" s="3">
        <v>633</v>
      </c>
      <c r="N605" s="3">
        <v>8</v>
      </c>
      <c r="O605" s="3">
        <v>13596.88</v>
      </c>
      <c r="P605" s="9">
        <f t="shared" si="45"/>
        <v>2.8697071357330675</v>
      </c>
      <c r="Q605" s="11">
        <f t="shared" si="46"/>
        <v>21.480063191153238</v>
      </c>
      <c r="R605" s="13">
        <f t="shared" si="47"/>
        <v>1699.61</v>
      </c>
      <c r="S605" s="4">
        <f t="shared" si="48"/>
        <v>1.1391297121104254</v>
      </c>
      <c r="T605" s="19" t="str">
        <f t="shared" si="49"/>
        <v>🟡 Mid</v>
      </c>
    </row>
    <row r="606" spans="1:20" x14ac:dyDescent="0.3">
      <c r="A606" s="16">
        <v>605</v>
      </c>
      <c r="B606" s="1" t="s">
        <v>65</v>
      </c>
      <c r="C606" s="1" t="s">
        <v>36</v>
      </c>
      <c r="D606" s="1" t="s">
        <v>41</v>
      </c>
      <c r="E606" s="1" t="s">
        <v>42</v>
      </c>
      <c r="F606" s="1" t="s">
        <v>24</v>
      </c>
      <c r="G606" s="1" t="s">
        <v>50</v>
      </c>
      <c r="H606" s="1" t="s">
        <v>54</v>
      </c>
      <c r="I606" s="1" t="s">
        <v>45</v>
      </c>
      <c r="J606" s="5">
        <v>2024</v>
      </c>
      <c r="K606" s="1">
        <v>6621.95</v>
      </c>
      <c r="L606" s="1">
        <v>764268</v>
      </c>
      <c r="M606" s="1">
        <v>15933</v>
      </c>
      <c r="N606" s="1">
        <v>1751</v>
      </c>
      <c r="O606" s="1">
        <v>4710.3999999999996</v>
      </c>
      <c r="P606" s="8">
        <f t="shared" si="45"/>
        <v>2.0847399079903908</v>
      </c>
      <c r="Q606" s="10">
        <f t="shared" si="46"/>
        <v>0.29563798405824387</v>
      </c>
      <c r="R606" s="12">
        <f t="shared" si="47"/>
        <v>2.6901199314677324</v>
      </c>
      <c r="S606" s="2">
        <f t="shared" si="48"/>
        <v>1.4058147927989131</v>
      </c>
      <c r="T606" s="18" t="str">
        <f t="shared" si="49"/>
        <v>🟡 Mid</v>
      </c>
    </row>
    <row r="607" spans="1:20" x14ac:dyDescent="0.3">
      <c r="A607" s="17">
        <v>606</v>
      </c>
      <c r="B607" s="3" t="s">
        <v>93</v>
      </c>
      <c r="C607" s="3" t="s">
        <v>36</v>
      </c>
      <c r="D607" s="3" t="s">
        <v>46</v>
      </c>
      <c r="E607" s="3" t="s">
        <v>42</v>
      </c>
      <c r="F607" s="3" t="s">
        <v>31</v>
      </c>
      <c r="G607" s="3" t="s">
        <v>32</v>
      </c>
      <c r="H607" s="3" t="s">
        <v>52</v>
      </c>
      <c r="I607" s="3" t="s">
        <v>38</v>
      </c>
      <c r="J607" s="6">
        <v>2023</v>
      </c>
      <c r="K607" s="3">
        <v>8959.08</v>
      </c>
      <c r="L607" s="3">
        <v>23785</v>
      </c>
      <c r="M607" s="3">
        <v>715</v>
      </c>
      <c r="N607" s="3">
        <v>28</v>
      </c>
      <c r="O607" s="3">
        <v>5814.49</v>
      </c>
      <c r="P607" s="9">
        <f t="shared" si="45"/>
        <v>3.0060962791675427</v>
      </c>
      <c r="Q607" s="11">
        <f t="shared" si="46"/>
        <v>8.1321538461538463</v>
      </c>
      <c r="R607" s="13">
        <f t="shared" si="47"/>
        <v>207.66035714285712</v>
      </c>
      <c r="S607" s="4">
        <f t="shared" si="48"/>
        <v>1.540819573169788</v>
      </c>
      <c r="T607" s="19" t="str">
        <f t="shared" si="49"/>
        <v>🟢 High</v>
      </c>
    </row>
    <row r="608" spans="1:20" x14ac:dyDescent="0.3">
      <c r="A608" s="16">
        <v>607</v>
      </c>
      <c r="B608" s="1" t="s">
        <v>86</v>
      </c>
      <c r="C608" s="1" t="s">
        <v>36</v>
      </c>
      <c r="D608" s="1" t="s">
        <v>41</v>
      </c>
      <c r="E608" s="1" t="s">
        <v>56</v>
      </c>
      <c r="F608" s="1" t="s">
        <v>31</v>
      </c>
      <c r="G608" s="1" t="s">
        <v>32</v>
      </c>
      <c r="H608" s="1" t="s">
        <v>54</v>
      </c>
      <c r="I608" s="1" t="s">
        <v>45</v>
      </c>
      <c r="J608" s="5">
        <v>2024</v>
      </c>
      <c r="K608" s="1">
        <v>6404.6</v>
      </c>
      <c r="L608" s="1">
        <v>651703</v>
      </c>
      <c r="M608" s="1">
        <v>15121</v>
      </c>
      <c r="N608" s="1">
        <v>1742</v>
      </c>
      <c r="O608" s="1">
        <v>4905.28</v>
      </c>
      <c r="P608" s="8">
        <f t="shared" si="45"/>
        <v>2.3202286931316873</v>
      </c>
      <c r="Q608" s="10">
        <f t="shared" si="46"/>
        <v>0.32440182527610606</v>
      </c>
      <c r="R608" s="12">
        <f t="shared" si="47"/>
        <v>2.8158897818599309</v>
      </c>
      <c r="S608" s="2">
        <f t="shared" si="48"/>
        <v>1.3056543153499904</v>
      </c>
      <c r="T608" s="18" t="str">
        <f t="shared" si="49"/>
        <v>🟡 Mid</v>
      </c>
    </row>
    <row r="609" spans="1:20" x14ac:dyDescent="0.3">
      <c r="A609" s="17">
        <v>608</v>
      </c>
      <c r="B609" s="3" t="s">
        <v>85</v>
      </c>
      <c r="C609" s="3" t="s">
        <v>40</v>
      </c>
      <c r="D609" s="3" t="s">
        <v>46</v>
      </c>
      <c r="E609" s="3" t="s">
        <v>30</v>
      </c>
      <c r="F609" s="3" t="s">
        <v>24</v>
      </c>
      <c r="G609" s="3" t="s">
        <v>25</v>
      </c>
      <c r="H609" s="3" t="s">
        <v>58</v>
      </c>
      <c r="I609" s="3" t="s">
        <v>27</v>
      </c>
      <c r="J609" s="6">
        <v>2023</v>
      </c>
      <c r="K609" s="3">
        <v>14072.63</v>
      </c>
      <c r="L609" s="3">
        <v>202364</v>
      </c>
      <c r="M609" s="3">
        <v>4400</v>
      </c>
      <c r="N609" s="3">
        <v>402</v>
      </c>
      <c r="O609" s="3">
        <v>9680.23</v>
      </c>
      <c r="P609" s="9">
        <f t="shared" si="45"/>
        <v>2.1742997766401135</v>
      </c>
      <c r="Q609" s="11">
        <f t="shared" si="46"/>
        <v>2.2000522727272727</v>
      </c>
      <c r="R609" s="13">
        <f t="shared" si="47"/>
        <v>24.080174129353232</v>
      </c>
      <c r="S609" s="4">
        <f t="shared" si="48"/>
        <v>1.4537495493392203</v>
      </c>
      <c r="T609" s="19" t="str">
        <f t="shared" si="49"/>
        <v>🟡 Mid</v>
      </c>
    </row>
    <row r="610" spans="1:20" x14ac:dyDescent="0.3">
      <c r="A610" s="16">
        <v>609</v>
      </c>
      <c r="B610" s="1" t="s">
        <v>69</v>
      </c>
      <c r="C610" s="1" t="s">
        <v>21</v>
      </c>
      <c r="D610" s="1" t="s">
        <v>46</v>
      </c>
      <c r="E610" s="1" t="s">
        <v>56</v>
      </c>
      <c r="F610" s="1" t="s">
        <v>31</v>
      </c>
      <c r="G610" s="1" t="s">
        <v>32</v>
      </c>
      <c r="H610" s="1" t="s">
        <v>83</v>
      </c>
      <c r="I610" s="1" t="s">
        <v>38</v>
      </c>
      <c r="J610" s="5">
        <v>2023</v>
      </c>
      <c r="K610" s="1">
        <v>6367.9</v>
      </c>
      <c r="L610" s="1">
        <v>490936</v>
      </c>
      <c r="M610" s="1">
        <v>4970</v>
      </c>
      <c r="N610" s="1">
        <v>233</v>
      </c>
      <c r="O610" s="1">
        <v>6234.27</v>
      </c>
      <c r="P610" s="8">
        <f t="shared" si="45"/>
        <v>1.0123519155246306</v>
      </c>
      <c r="Q610" s="10">
        <f t="shared" si="46"/>
        <v>1.254380281690141</v>
      </c>
      <c r="R610" s="12">
        <f t="shared" si="47"/>
        <v>26.756523605150218</v>
      </c>
      <c r="S610" s="2">
        <f t="shared" si="48"/>
        <v>1.0214347469711769</v>
      </c>
      <c r="T610" s="18" t="str">
        <f t="shared" si="49"/>
        <v>🔴 Low</v>
      </c>
    </row>
    <row r="611" spans="1:20" x14ac:dyDescent="0.3">
      <c r="A611" s="17">
        <v>610</v>
      </c>
      <c r="B611" s="3" t="s">
        <v>74</v>
      </c>
      <c r="C611" s="3" t="s">
        <v>21</v>
      </c>
      <c r="D611" s="3" t="s">
        <v>41</v>
      </c>
      <c r="E611" s="3" t="s">
        <v>56</v>
      </c>
      <c r="F611" s="3" t="s">
        <v>24</v>
      </c>
      <c r="G611" s="3" t="s">
        <v>50</v>
      </c>
      <c r="H611" s="3" t="s">
        <v>79</v>
      </c>
      <c r="I611" s="3" t="s">
        <v>45</v>
      </c>
      <c r="J611" s="6">
        <v>2023</v>
      </c>
      <c r="K611" s="3">
        <v>4426.1000000000004</v>
      </c>
      <c r="L611" s="3">
        <v>602091</v>
      </c>
      <c r="M611" s="3">
        <v>6742</v>
      </c>
      <c r="N611" s="3">
        <v>851</v>
      </c>
      <c r="O611" s="3">
        <v>3383.88</v>
      </c>
      <c r="P611" s="9">
        <f t="shared" si="45"/>
        <v>1.1197642881225596</v>
      </c>
      <c r="Q611" s="11">
        <f t="shared" si="46"/>
        <v>0.50191041234055178</v>
      </c>
      <c r="R611" s="13">
        <f t="shared" si="47"/>
        <v>3.9763572267920093</v>
      </c>
      <c r="S611" s="4">
        <f t="shared" si="48"/>
        <v>1.3079955553979457</v>
      </c>
      <c r="T611" s="19" t="str">
        <f t="shared" si="49"/>
        <v>🔴 Low</v>
      </c>
    </row>
    <row r="612" spans="1:20" x14ac:dyDescent="0.3">
      <c r="A612" s="16">
        <v>611</v>
      </c>
      <c r="B612" s="1" t="s">
        <v>60</v>
      </c>
      <c r="C612" s="1" t="s">
        <v>40</v>
      </c>
      <c r="D612" s="1" t="s">
        <v>22</v>
      </c>
      <c r="E612" s="1" t="s">
        <v>56</v>
      </c>
      <c r="F612" s="1" t="s">
        <v>47</v>
      </c>
      <c r="G612" s="1" t="s">
        <v>50</v>
      </c>
      <c r="H612" s="1" t="s">
        <v>54</v>
      </c>
      <c r="I612" s="1" t="s">
        <v>45</v>
      </c>
      <c r="J612" s="5">
        <v>2024</v>
      </c>
      <c r="K612" s="1">
        <v>1221.8399999999999</v>
      </c>
      <c r="L612" s="1">
        <v>424095</v>
      </c>
      <c r="M612" s="1">
        <v>3960</v>
      </c>
      <c r="N612" s="1">
        <v>56</v>
      </c>
      <c r="O612" s="1">
        <v>1081.3800000000001</v>
      </c>
      <c r="P612" s="8">
        <f t="shared" si="45"/>
        <v>0.93375305061365965</v>
      </c>
      <c r="Q612" s="10">
        <f t="shared" si="46"/>
        <v>0.27307575757575758</v>
      </c>
      <c r="R612" s="12">
        <f t="shared" si="47"/>
        <v>19.310357142857146</v>
      </c>
      <c r="S612" s="2">
        <f t="shared" si="48"/>
        <v>1.1298895855296009</v>
      </c>
      <c r="T612" s="18" t="str">
        <f t="shared" si="49"/>
        <v>🔴 Low</v>
      </c>
    </row>
    <row r="613" spans="1:20" x14ac:dyDescent="0.3">
      <c r="A613" s="17">
        <v>612</v>
      </c>
      <c r="B613" s="3" t="s">
        <v>87</v>
      </c>
      <c r="C613" s="3" t="s">
        <v>40</v>
      </c>
      <c r="D613" s="3" t="s">
        <v>22</v>
      </c>
      <c r="E613" s="3" t="s">
        <v>61</v>
      </c>
      <c r="F613" s="3" t="s">
        <v>24</v>
      </c>
      <c r="G613" s="3" t="s">
        <v>50</v>
      </c>
      <c r="H613" s="3" t="s">
        <v>79</v>
      </c>
      <c r="I613" s="3" t="s">
        <v>45</v>
      </c>
      <c r="J613" s="6">
        <v>2024</v>
      </c>
      <c r="K613" s="3">
        <v>11288.49</v>
      </c>
      <c r="L613" s="3">
        <v>285859</v>
      </c>
      <c r="M613" s="3">
        <v>4740</v>
      </c>
      <c r="N613" s="3">
        <v>87</v>
      </c>
      <c r="O613" s="3">
        <v>8750.81</v>
      </c>
      <c r="P613" s="9">
        <f t="shared" si="45"/>
        <v>1.6581601418881338</v>
      </c>
      <c r="Q613" s="11">
        <f t="shared" si="46"/>
        <v>1.8461624472573839</v>
      </c>
      <c r="R613" s="13">
        <f t="shared" si="47"/>
        <v>100.58402298850574</v>
      </c>
      <c r="S613" s="4">
        <f t="shared" si="48"/>
        <v>1.2899937262950516</v>
      </c>
      <c r="T613" s="19" t="str">
        <f t="shared" si="49"/>
        <v>🟡 Mid</v>
      </c>
    </row>
    <row r="614" spans="1:20" x14ac:dyDescent="0.3">
      <c r="A614" s="16">
        <v>613</v>
      </c>
      <c r="B614" s="1" t="s">
        <v>39</v>
      </c>
      <c r="C614" s="1" t="s">
        <v>40</v>
      </c>
      <c r="D614" s="1" t="s">
        <v>41</v>
      </c>
      <c r="E614" s="1" t="s">
        <v>61</v>
      </c>
      <c r="F614" s="1" t="s">
        <v>31</v>
      </c>
      <c r="G614" s="1" t="s">
        <v>43</v>
      </c>
      <c r="H614" s="1" t="s">
        <v>48</v>
      </c>
      <c r="I614" s="1" t="s">
        <v>34</v>
      </c>
      <c r="J614" s="5">
        <v>2024</v>
      </c>
      <c r="K614" s="1">
        <v>905.74</v>
      </c>
      <c r="L614" s="1">
        <v>307001</v>
      </c>
      <c r="M614" s="1">
        <v>4654</v>
      </c>
      <c r="N614" s="1">
        <v>442</v>
      </c>
      <c r="O614" s="1">
        <v>736.55</v>
      </c>
      <c r="P614" s="8">
        <f t="shared" si="45"/>
        <v>1.515955974084775</v>
      </c>
      <c r="Q614" s="10">
        <f t="shared" si="46"/>
        <v>0.15826171035668241</v>
      </c>
      <c r="R614" s="12">
        <f t="shared" si="47"/>
        <v>1.6664027149321265</v>
      </c>
      <c r="S614" s="2">
        <f t="shared" si="48"/>
        <v>1.2297060620460254</v>
      </c>
      <c r="T614" s="18" t="str">
        <f t="shared" si="49"/>
        <v>🟡 Mid</v>
      </c>
    </row>
    <row r="615" spans="1:20" x14ac:dyDescent="0.3">
      <c r="A615" s="17">
        <v>614</v>
      </c>
      <c r="B615" s="3" t="s">
        <v>78</v>
      </c>
      <c r="C615" s="3" t="s">
        <v>21</v>
      </c>
      <c r="D615" s="3" t="s">
        <v>29</v>
      </c>
      <c r="E615" s="3" t="s">
        <v>56</v>
      </c>
      <c r="F615" s="3" t="s">
        <v>24</v>
      </c>
      <c r="G615" s="3" t="s">
        <v>43</v>
      </c>
      <c r="H615" s="3" t="s">
        <v>54</v>
      </c>
      <c r="I615" s="3" t="s">
        <v>45</v>
      </c>
      <c r="J615" s="6">
        <v>2024</v>
      </c>
      <c r="K615" s="3">
        <v>19216.169999999998</v>
      </c>
      <c r="L615" s="3">
        <v>710804</v>
      </c>
      <c r="M615" s="3">
        <v>1019</v>
      </c>
      <c r="N615" s="3">
        <v>30</v>
      </c>
      <c r="O615" s="3">
        <v>14437.25</v>
      </c>
      <c r="P615" s="9">
        <f t="shared" si="45"/>
        <v>0.14335878807660057</v>
      </c>
      <c r="Q615" s="11">
        <f t="shared" si="46"/>
        <v>14.168056918547595</v>
      </c>
      <c r="R615" s="13">
        <f t="shared" si="47"/>
        <v>481.24166666666667</v>
      </c>
      <c r="S615" s="4">
        <f t="shared" si="48"/>
        <v>1.331013177717363</v>
      </c>
      <c r="T615" s="19" t="str">
        <f t="shared" si="49"/>
        <v>🔴 Low</v>
      </c>
    </row>
    <row r="616" spans="1:20" x14ac:dyDescent="0.3">
      <c r="A616" s="16">
        <v>615</v>
      </c>
      <c r="B616" s="1" t="s">
        <v>92</v>
      </c>
      <c r="C616" s="1" t="s">
        <v>40</v>
      </c>
      <c r="D616" s="1" t="s">
        <v>29</v>
      </c>
      <c r="E616" s="1" t="s">
        <v>30</v>
      </c>
      <c r="F616" s="1" t="s">
        <v>47</v>
      </c>
      <c r="G616" s="1" t="s">
        <v>57</v>
      </c>
      <c r="H616" s="1" t="s">
        <v>44</v>
      </c>
      <c r="I616" s="1" t="s">
        <v>45</v>
      </c>
      <c r="J616" s="5">
        <v>2024</v>
      </c>
      <c r="K616" s="1">
        <v>3017.38</v>
      </c>
      <c r="L616" s="1">
        <v>214174</v>
      </c>
      <c r="M616" s="1">
        <v>4118</v>
      </c>
      <c r="N616" s="1">
        <v>139</v>
      </c>
      <c r="O616" s="1">
        <v>3005.56</v>
      </c>
      <c r="P616" s="8">
        <f t="shared" si="45"/>
        <v>1.922735719555128</v>
      </c>
      <c r="Q616" s="10">
        <f t="shared" si="46"/>
        <v>0.72985915492957743</v>
      </c>
      <c r="R616" s="12">
        <f t="shared" si="47"/>
        <v>21.62273381294964</v>
      </c>
      <c r="S616" s="2">
        <f t="shared" si="48"/>
        <v>1.0039327113749186</v>
      </c>
      <c r="T616" s="18" t="str">
        <f t="shared" si="49"/>
        <v>🟡 Mid</v>
      </c>
    </row>
    <row r="617" spans="1:20" x14ac:dyDescent="0.3">
      <c r="A617" s="17">
        <v>616</v>
      </c>
      <c r="B617" s="3" t="s">
        <v>77</v>
      </c>
      <c r="C617" s="3" t="s">
        <v>40</v>
      </c>
      <c r="D617" s="3" t="s">
        <v>46</v>
      </c>
      <c r="E617" s="3" t="s">
        <v>30</v>
      </c>
      <c r="F617" s="3" t="s">
        <v>31</v>
      </c>
      <c r="G617" s="3" t="s">
        <v>57</v>
      </c>
      <c r="H617" s="3" t="s">
        <v>68</v>
      </c>
      <c r="I617" s="3" t="s">
        <v>27</v>
      </c>
      <c r="J617" s="6">
        <v>2024</v>
      </c>
      <c r="K617" s="3">
        <v>17677.669999999998</v>
      </c>
      <c r="L617" s="3">
        <v>379387</v>
      </c>
      <c r="M617" s="3">
        <v>7906</v>
      </c>
      <c r="N617" s="3">
        <v>637</v>
      </c>
      <c r="O617" s="3">
        <v>11903.79</v>
      </c>
      <c r="P617" s="9">
        <f t="shared" si="45"/>
        <v>2.0838879560975996</v>
      </c>
      <c r="Q617" s="11">
        <f t="shared" si="46"/>
        <v>1.5056653174803947</v>
      </c>
      <c r="R617" s="13">
        <f t="shared" si="47"/>
        <v>18.687268445839877</v>
      </c>
      <c r="S617" s="4">
        <f t="shared" si="48"/>
        <v>1.4850455191161804</v>
      </c>
      <c r="T617" s="19" t="str">
        <f t="shared" si="49"/>
        <v>🟡 Mid</v>
      </c>
    </row>
    <row r="618" spans="1:20" x14ac:dyDescent="0.3">
      <c r="A618" s="16">
        <v>617</v>
      </c>
      <c r="B618" s="1" t="s">
        <v>28</v>
      </c>
      <c r="C618" s="1" t="s">
        <v>21</v>
      </c>
      <c r="D618" s="1" t="s">
        <v>22</v>
      </c>
      <c r="E618" s="1" t="s">
        <v>23</v>
      </c>
      <c r="F618" s="1" t="s">
        <v>47</v>
      </c>
      <c r="G618" s="1" t="s">
        <v>57</v>
      </c>
      <c r="H618" s="1" t="s">
        <v>79</v>
      </c>
      <c r="I618" s="1" t="s">
        <v>45</v>
      </c>
      <c r="J618" s="5">
        <v>2023</v>
      </c>
      <c r="K618" s="1">
        <v>2853.42</v>
      </c>
      <c r="L618" s="1">
        <v>239981</v>
      </c>
      <c r="M618" s="1">
        <v>119</v>
      </c>
      <c r="N618" s="1">
        <v>1</v>
      </c>
      <c r="O618" s="1">
        <v>2634.1</v>
      </c>
      <c r="P618" s="8">
        <f t="shared" si="45"/>
        <v>4.9587258991336813E-2</v>
      </c>
      <c r="Q618" s="10">
        <f t="shared" si="46"/>
        <v>22.135294117647057</v>
      </c>
      <c r="R618" s="12">
        <f t="shared" si="47"/>
        <v>2634.1</v>
      </c>
      <c r="S618" s="2">
        <f t="shared" si="48"/>
        <v>1.083261835161915</v>
      </c>
      <c r="T618" s="18" t="str">
        <f t="shared" si="49"/>
        <v>🔴 Low</v>
      </c>
    </row>
    <row r="619" spans="1:20" x14ac:dyDescent="0.3">
      <c r="A619" s="17">
        <v>618</v>
      </c>
      <c r="B619" s="3" t="s">
        <v>73</v>
      </c>
      <c r="C619" s="3" t="s">
        <v>21</v>
      </c>
      <c r="D619" s="3" t="s">
        <v>46</v>
      </c>
      <c r="E619" s="3" t="s">
        <v>61</v>
      </c>
      <c r="F619" s="3" t="s">
        <v>31</v>
      </c>
      <c r="G619" s="3" t="s">
        <v>57</v>
      </c>
      <c r="H619" s="3" t="s">
        <v>54</v>
      </c>
      <c r="I619" s="3" t="s">
        <v>45</v>
      </c>
      <c r="J619" s="6">
        <v>2023</v>
      </c>
      <c r="K619" s="3">
        <v>18569.330000000002</v>
      </c>
      <c r="L619" s="3">
        <v>464094</v>
      </c>
      <c r="M619" s="3">
        <v>3880</v>
      </c>
      <c r="N619" s="3">
        <v>341</v>
      </c>
      <c r="O619" s="3">
        <v>18649.400000000001</v>
      </c>
      <c r="P619" s="9">
        <f t="shared" si="45"/>
        <v>0.83603752688033017</v>
      </c>
      <c r="Q619" s="11">
        <f t="shared" si="46"/>
        <v>4.8065463917525779</v>
      </c>
      <c r="R619" s="13">
        <f t="shared" si="47"/>
        <v>54.690322580645166</v>
      </c>
      <c r="S619" s="4">
        <f t="shared" si="48"/>
        <v>0.99570656428625048</v>
      </c>
      <c r="T619" s="19" t="str">
        <f t="shared" si="49"/>
        <v>🔴 Low</v>
      </c>
    </row>
    <row r="620" spans="1:20" x14ac:dyDescent="0.3">
      <c r="A620" s="16">
        <v>619</v>
      </c>
      <c r="B620" s="1" t="s">
        <v>88</v>
      </c>
      <c r="C620" s="1" t="s">
        <v>36</v>
      </c>
      <c r="D620" s="1" t="s">
        <v>29</v>
      </c>
      <c r="E620" s="1" t="s">
        <v>61</v>
      </c>
      <c r="F620" s="1" t="s">
        <v>24</v>
      </c>
      <c r="G620" s="1" t="s">
        <v>32</v>
      </c>
      <c r="H620" s="1" t="s">
        <v>68</v>
      </c>
      <c r="I620" s="1" t="s">
        <v>27</v>
      </c>
      <c r="J620" s="5">
        <v>2023</v>
      </c>
      <c r="K620" s="1">
        <v>3757.4</v>
      </c>
      <c r="L620" s="1">
        <v>128794</v>
      </c>
      <c r="M620" s="1">
        <v>4581</v>
      </c>
      <c r="N620" s="1">
        <v>67</v>
      </c>
      <c r="O620" s="1">
        <v>2715.44</v>
      </c>
      <c r="P620" s="8">
        <f t="shared" si="45"/>
        <v>3.5568427100641333</v>
      </c>
      <c r="Q620" s="10">
        <f t="shared" si="46"/>
        <v>0.59276140580659242</v>
      </c>
      <c r="R620" s="12">
        <f t="shared" si="47"/>
        <v>40.528955223880601</v>
      </c>
      <c r="S620" s="2">
        <f t="shared" si="48"/>
        <v>1.3837168193736558</v>
      </c>
      <c r="T620" s="18" t="str">
        <f t="shared" si="49"/>
        <v>🟢 High</v>
      </c>
    </row>
    <row r="621" spans="1:20" x14ac:dyDescent="0.3">
      <c r="A621" s="17">
        <v>620</v>
      </c>
      <c r="B621" s="3" t="s">
        <v>67</v>
      </c>
      <c r="C621" s="3" t="s">
        <v>40</v>
      </c>
      <c r="D621" s="3" t="s">
        <v>22</v>
      </c>
      <c r="E621" s="3" t="s">
        <v>30</v>
      </c>
      <c r="F621" s="3" t="s">
        <v>31</v>
      </c>
      <c r="G621" s="3" t="s">
        <v>43</v>
      </c>
      <c r="H621" s="3" t="s">
        <v>37</v>
      </c>
      <c r="I621" s="3" t="s">
        <v>38</v>
      </c>
      <c r="J621" s="6">
        <v>2023</v>
      </c>
      <c r="K621" s="3">
        <v>2898.18</v>
      </c>
      <c r="L621" s="3">
        <v>216697</v>
      </c>
      <c r="M621" s="3">
        <v>1738</v>
      </c>
      <c r="N621" s="3">
        <v>20</v>
      </c>
      <c r="O621" s="3">
        <v>2244.9699999999998</v>
      </c>
      <c r="P621" s="9">
        <f t="shared" si="45"/>
        <v>0.80204156033539908</v>
      </c>
      <c r="Q621" s="11">
        <f t="shared" si="46"/>
        <v>1.2916973532796316</v>
      </c>
      <c r="R621" s="13">
        <f t="shared" si="47"/>
        <v>112.24849999999999</v>
      </c>
      <c r="S621" s="4">
        <f t="shared" si="48"/>
        <v>1.2909660262720661</v>
      </c>
      <c r="T621" s="19" t="str">
        <f t="shared" si="49"/>
        <v>🔴 Low</v>
      </c>
    </row>
    <row r="622" spans="1:20" x14ac:dyDescent="0.3">
      <c r="A622" s="16">
        <v>621</v>
      </c>
      <c r="B622" s="1" t="s">
        <v>93</v>
      </c>
      <c r="C622" s="1" t="s">
        <v>36</v>
      </c>
      <c r="D622" s="1" t="s">
        <v>41</v>
      </c>
      <c r="E622" s="1" t="s">
        <v>23</v>
      </c>
      <c r="F622" s="1" t="s">
        <v>47</v>
      </c>
      <c r="G622" s="1" t="s">
        <v>32</v>
      </c>
      <c r="H622" s="1" t="s">
        <v>26</v>
      </c>
      <c r="I622" s="1" t="s">
        <v>27</v>
      </c>
      <c r="J622" s="5">
        <v>2023</v>
      </c>
      <c r="K622" s="1">
        <v>5687.3</v>
      </c>
      <c r="L622" s="1">
        <v>754941</v>
      </c>
      <c r="M622" s="1">
        <v>21247</v>
      </c>
      <c r="N622" s="1">
        <v>2405</v>
      </c>
      <c r="O622" s="1">
        <v>3774.53</v>
      </c>
      <c r="P622" s="8">
        <f t="shared" si="45"/>
        <v>2.814392118059557</v>
      </c>
      <c r="Q622" s="10">
        <f t="shared" si="46"/>
        <v>0.17765002117946063</v>
      </c>
      <c r="R622" s="12">
        <f t="shared" si="47"/>
        <v>1.5694511434511436</v>
      </c>
      <c r="S622" s="2">
        <f t="shared" si="48"/>
        <v>1.5067571326761213</v>
      </c>
      <c r="T622" s="18" t="str">
        <f t="shared" si="49"/>
        <v>🟡 Mid</v>
      </c>
    </row>
    <row r="623" spans="1:20" x14ac:dyDescent="0.3">
      <c r="A623" s="17">
        <v>622</v>
      </c>
      <c r="B623" s="3" t="s">
        <v>76</v>
      </c>
      <c r="C623" s="3" t="s">
        <v>21</v>
      </c>
      <c r="D623" s="3" t="s">
        <v>46</v>
      </c>
      <c r="E623" s="3" t="s">
        <v>30</v>
      </c>
      <c r="F623" s="3" t="s">
        <v>47</v>
      </c>
      <c r="G623" s="3" t="s">
        <v>50</v>
      </c>
      <c r="H623" s="3" t="s">
        <v>33</v>
      </c>
      <c r="I623" s="3" t="s">
        <v>34</v>
      </c>
      <c r="J623" s="6">
        <v>2024</v>
      </c>
      <c r="K623" s="3">
        <v>19060.89</v>
      </c>
      <c r="L623" s="3">
        <v>546228</v>
      </c>
      <c r="M623" s="3">
        <v>1241</v>
      </c>
      <c r="N623" s="3">
        <v>108</v>
      </c>
      <c r="O623" s="3">
        <v>14332.75</v>
      </c>
      <c r="P623" s="9">
        <f t="shared" si="45"/>
        <v>0.22719450485877693</v>
      </c>
      <c r="Q623" s="11">
        <f t="shared" si="46"/>
        <v>11.549355358581789</v>
      </c>
      <c r="R623" s="13">
        <f t="shared" si="47"/>
        <v>132.71064814814815</v>
      </c>
      <c r="S623" s="4">
        <f t="shared" si="48"/>
        <v>1.3298836580558511</v>
      </c>
      <c r="T623" s="19" t="str">
        <f t="shared" si="49"/>
        <v>🔴 Low</v>
      </c>
    </row>
    <row r="624" spans="1:20" x14ac:dyDescent="0.3">
      <c r="A624" s="16">
        <v>623</v>
      </c>
      <c r="B624" s="1" t="s">
        <v>89</v>
      </c>
      <c r="C624" s="1" t="s">
        <v>36</v>
      </c>
      <c r="D624" s="1" t="s">
        <v>46</v>
      </c>
      <c r="E624" s="1" t="s">
        <v>42</v>
      </c>
      <c r="F624" s="1" t="s">
        <v>31</v>
      </c>
      <c r="G624" s="1" t="s">
        <v>32</v>
      </c>
      <c r="H624" s="1" t="s">
        <v>58</v>
      </c>
      <c r="I624" s="1" t="s">
        <v>27</v>
      </c>
      <c r="J624" s="5">
        <v>2023</v>
      </c>
      <c r="K624" s="1">
        <v>7096.92</v>
      </c>
      <c r="L624" s="1">
        <v>426161</v>
      </c>
      <c r="M624" s="1">
        <v>13201</v>
      </c>
      <c r="N624" s="1">
        <v>576</v>
      </c>
      <c r="O624" s="1">
        <v>6521.08</v>
      </c>
      <c r="P624" s="8">
        <f t="shared" si="45"/>
        <v>3.0976555808720176</v>
      </c>
      <c r="Q624" s="10">
        <f t="shared" si="46"/>
        <v>0.49398378910688584</v>
      </c>
      <c r="R624" s="12">
        <f t="shared" si="47"/>
        <v>11.321319444444445</v>
      </c>
      <c r="S624" s="2">
        <f t="shared" si="48"/>
        <v>1.0883043912971471</v>
      </c>
      <c r="T624" s="18" t="str">
        <f t="shared" si="49"/>
        <v>🟢 High</v>
      </c>
    </row>
    <row r="625" spans="1:20" x14ac:dyDescent="0.3">
      <c r="A625" s="17">
        <v>624</v>
      </c>
      <c r="B625" s="3" t="s">
        <v>49</v>
      </c>
      <c r="C625" s="3" t="s">
        <v>21</v>
      </c>
      <c r="D625" s="3" t="s">
        <v>29</v>
      </c>
      <c r="E625" s="3" t="s">
        <v>42</v>
      </c>
      <c r="F625" s="3" t="s">
        <v>31</v>
      </c>
      <c r="G625" s="3" t="s">
        <v>32</v>
      </c>
      <c r="H625" s="3" t="s">
        <v>52</v>
      </c>
      <c r="I625" s="3" t="s">
        <v>38</v>
      </c>
      <c r="J625" s="6">
        <v>2024</v>
      </c>
      <c r="K625" s="3">
        <v>8339.0499999999993</v>
      </c>
      <c r="L625" s="3">
        <v>718944</v>
      </c>
      <c r="M625" s="3">
        <v>4788</v>
      </c>
      <c r="N625" s="3">
        <v>148</v>
      </c>
      <c r="O625" s="3">
        <v>8062.94</v>
      </c>
      <c r="P625" s="9">
        <f t="shared" si="45"/>
        <v>0.6659767659233542</v>
      </c>
      <c r="Q625" s="11">
        <f t="shared" si="46"/>
        <v>1.6839891395154551</v>
      </c>
      <c r="R625" s="13">
        <f t="shared" si="47"/>
        <v>54.479324324324324</v>
      </c>
      <c r="S625" s="4">
        <f t="shared" si="48"/>
        <v>1.0342443327123854</v>
      </c>
      <c r="T625" s="19" t="str">
        <f t="shared" si="49"/>
        <v>🔴 Low</v>
      </c>
    </row>
    <row r="626" spans="1:20" x14ac:dyDescent="0.3">
      <c r="A626" s="16">
        <v>625</v>
      </c>
      <c r="B626" s="1" t="s">
        <v>95</v>
      </c>
      <c r="C626" s="1" t="s">
        <v>21</v>
      </c>
      <c r="D626" s="1" t="s">
        <v>13</v>
      </c>
      <c r="E626" s="1" t="s">
        <v>42</v>
      </c>
      <c r="F626" s="1" t="s">
        <v>47</v>
      </c>
      <c r="G626" s="1" t="s">
        <v>32</v>
      </c>
      <c r="H626" s="1" t="s">
        <v>79</v>
      </c>
      <c r="I626" s="1" t="s">
        <v>45</v>
      </c>
      <c r="J626" s="5">
        <v>2023</v>
      </c>
      <c r="K626" s="1">
        <v>14155.75</v>
      </c>
      <c r="L626" s="1">
        <v>472863</v>
      </c>
      <c r="M626" s="1">
        <v>252</v>
      </c>
      <c r="N626" s="1">
        <v>23</v>
      </c>
      <c r="O626" s="1">
        <v>12168.83</v>
      </c>
      <c r="P626" s="8">
        <f t="shared" si="45"/>
        <v>5.3292391242283708E-2</v>
      </c>
      <c r="Q626" s="10">
        <f t="shared" si="46"/>
        <v>48.289007936507936</v>
      </c>
      <c r="R626" s="12">
        <f t="shared" si="47"/>
        <v>529.07956521739129</v>
      </c>
      <c r="S626" s="2">
        <f t="shared" si="48"/>
        <v>1.1632794607205459</v>
      </c>
      <c r="T626" s="18" t="str">
        <f t="shared" si="49"/>
        <v>🔴 Low</v>
      </c>
    </row>
    <row r="627" spans="1:20" x14ac:dyDescent="0.3">
      <c r="A627" s="17">
        <v>626</v>
      </c>
      <c r="B627" s="3" t="s">
        <v>96</v>
      </c>
      <c r="C627" s="3" t="s">
        <v>40</v>
      </c>
      <c r="D627" s="3" t="s">
        <v>41</v>
      </c>
      <c r="E627" s="3" t="s">
        <v>30</v>
      </c>
      <c r="F627" s="3" t="s">
        <v>47</v>
      </c>
      <c r="G627" s="3" t="s">
        <v>57</v>
      </c>
      <c r="H627" s="3" t="s">
        <v>68</v>
      </c>
      <c r="I627" s="3" t="s">
        <v>27</v>
      </c>
      <c r="J627" s="6">
        <v>2024</v>
      </c>
      <c r="K627" s="3">
        <v>8104.87</v>
      </c>
      <c r="L627" s="3">
        <v>758800</v>
      </c>
      <c r="M627" s="3">
        <v>5907</v>
      </c>
      <c r="N627" s="3">
        <v>704</v>
      </c>
      <c r="O627" s="3">
        <v>5291.85</v>
      </c>
      <c r="P627" s="9">
        <f t="shared" si="45"/>
        <v>0.77846599894570379</v>
      </c>
      <c r="Q627" s="11">
        <f t="shared" si="46"/>
        <v>0.89586084306754699</v>
      </c>
      <c r="R627" s="13">
        <f t="shared" si="47"/>
        <v>7.516832386363637</v>
      </c>
      <c r="S627" s="4">
        <f t="shared" si="48"/>
        <v>1.5315759139053449</v>
      </c>
      <c r="T627" s="19" t="str">
        <f t="shared" si="49"/>
        <v>🔴 Low</v>
      </c>
    </row>
    <row r="628" spans="1:20" x14ac:dyDescent="0.3">
      <c r="A628" s="16">
        <v>627</v>
      </c>
      <c r="B628" s="1" t="s">
        <v>59</v>
      </c>
      <c r="C628" s="1" t="s">
        <v>21</v>
      </c>
      <c r="D628" s="1" t="s">
        <v>46</v>
      </c>
      <c r="E628" s="1" t="s">
        <v>42</v>
      </c>
      <c r="F628" s="1" t="s">
        <v>31</v>
      </c>
      <c r="G628" s="1" t="s">
        <v>32</v>
      </c>
      <c r="H628" s="1" t="s">
        <v>52</v>
      </c>
      <c r="I628" s="1" t="s">
        <v>38</v>
      </c>
      <c r="J628" s="5">
        <v>2024</v>
      </c>
      <c r="K628" s="1">
        <v>15262.4</v>
      </c>
      <c r="L628" s="1">
        <v>172800</v>
      </c>
      <c r="M628" s="1">
        <v>3006</v>
      </c>
      <c r="N628" s="1">
        <v>217</v>
      </c>
      <c r="O628" s="1">
        <v>10815.7</v>
      </c>
      <c r="P628" s="8">
        <f t="shared" si="45"/>
        <v>1.7395833333333333</v>
      </c>
      <c r="Q628" s="10">
        <f t="shared" si="46"/>
        <v>3.5980372588157024</v>
      </c>
      <c r="R628" s="12">
        <f t="shared" si="47"/>
        <v>49.841935483870969</v>
      </c>
      <c r="S628" s="2">
        <f t="shared" si="48"/>
        <v>1.4111338147322872</v>
      </c>
      <c r="T628" s="18" t="str">
        <f t="shared" si="49"/>
        <v>🟡 Mid</v>
      </c>
    </row>
    <row r="629" spans="1:20" x14ac:dyDescent="0.3">
      <c r="A629" s="17">
        <v>628</v>
      </c>
      <c r="B629" s="3" t="s">
        <v>82</v>
      </c>
      <c r="C629" s="3" t="s">
        <v>40</v>
      </c>
      <c r="D629" s="3" t="s">
        <v>29</v>
      </c>
      <c r="E629" s="3" t="s">
        <v>42</v>
      </c>
      <c r="F629" s="3" t="s">
        <v>31</v>
      </c>
      <c r="G629" s="3" t="s">
        <v>57</v>
      </c>
      <c r="H629" s="3" t="s">
        <v>37</v>
      </c>
      <c r="I629" s="3" t="s">
        <v>38</v>
      </c>
      <c r="J629" s="6">
        <v>2024</v>
      </c>
      <c r="K629" s="3">
        <v>12726.3</v>
      </c>
      <c r="L629" s="3">
        <v>376692</v>
      </c>
      <c r="M629" s="3">
        <v>6607</v>
      </c>
      <c r="N629" s="3">
        <v>90</v>
      </c>
      <c r="O629" s="3">
        <v>11679.63</v>
      </c>
      <c r="P629" s="9">
        <f t="shared" si="45"/>
        <v>1.7539528314909796</v>
      </c>
      <c r="Q629" s="11">
        <f t="shared" si="46"/>
        <v>1.7677660057514757</v>
      </c>
      <c r="R629" s="13">
        <f t="shared" si="47"/>
        <v>129.77366666666666</v>
      </c>
      <c r="S629" s="4">
        <f t="shared" si="48"/>
        <v>1.0896149963654671</v>
      </c>
      <c r="T629" s="19" t="str">
        <f t="shared" si="49"/>
        <v>🟡 Mid</v>
      </c>
    </row>
    <row r="630" spans="1:20" x14ac:dyDescent="0.3">
      <c r="A630" s="16">
        <v>629</v>
      </c>
      <c r="B630" s="1" t="s">
        <v>86</v>
      </c>
      <c r="C630" s="1" t="s">
        <v>36</v>
      </c>
      <c r="D630" s="1" t="s">
        <v>13</v>
      </c>
      <c r="E630" s="1" t="s">
        <v>61</v>
      </c>
      <c r="F630" s="1" t="s">
        <v>31</v>
      </c>
      <c r="G630" s="1" t="s">
        <v>57</v>
      </c>
      <c r="H630" s="1" t="s">
        <v>48</v>
      </c>
      <c r="I630" s="1" t="s">
        <v>34</v>
      </c>
      <c r="J630" s="5">
        <v>2024</v>
      </c>
      <c r="K630" s="1">
        <v>19667.54</v>
      </c>
      <c r="L630" s="1">
        <v>786984</v>
      </c>
      <c r="M630" s="1">
        <v>27104</v>
      </c>
      <c r="N630" s="1">
        <v>3052</v>
      </c>
      <c r="O630" s="1">
        <v>16985.919999999998</v>
      </c>
      <c r="P630" s="8">
        <f t="shared" si="45"/>
        <v>3.4440344403444034</v>
      </c>
      <c r="Q630" s="10">
        <f t="shared" si="46"/>
        <v>0.62669421487603294</v>
      </c>
      <c r="R630" s="12">
        <f t="shared" si="47"/>
        <v>5.5655045871559627</v>
      </c>
      <c r="S630" s="2">
        <f t="shared" si="48"/>
        <v>1.1578731090220609</v>
      </c>
      <c r="T630" s="18" t="str">
        <f t="shared" si="49"/>
        <v>🟢 High</v>
      </c>
    </row>
    <row r="631" spans="1:20" x14ac:dyDescent="0.3">
      <c r="A631" s="17">
        <v>630</v>
      </c>
      <c r="B631" s="3" t="s">
        <v>64</v>
      </c>
      <c r="C631" s="3" t="s">
        <v>21</v>
      </c>
      <c r="D631" s="3" t="s">
        <v>13</v>
      </c>
      <c r="E631" s="3" t="s">
        <v>23</v>
      </c>
      <c r="F631" s="3" t="s">
        <v>47</v>
      </c>
      <c r="G631" s="3" t="s">
        <v>32</v>
      </c>
      <c r="H631" s="3" t="s">
        <v>44</v>
      </c>
      <c r="I631" s="3" t="s">
        <v>45</v>
      </c>
      <c r="J631" s="6">
        <v>2023</v>
      </c>
      <c r="K631" s="3">
        <v>14429.84</v>
      </c>
      <c r="L631" s="3">
        <v>549909</v>
      </c>
      <c r="M631" s="3">
        <v>3604</v>
      </c>
      <c r="N631" s="3">
        <v>366</v>
      </c>
      <c r="O631" s="3">
        <v>9295.64</v>
      </c>
      <c r="P631" s="9">
        <f t="shared" si="45"/>
        <v>0.6553811630651617</v>
      </c>
      <c r="Q631" s="11">
        <f t="shared" si="46"/>
        <v>2.5792563817980021</v>
      </c>
      <c r="R631" s="13">
        <f t="shared" si="47"/>
        <v>25.397923497267758</v>
      </c>
      <c r="S631" s="4">
        <f t="shared" si="48"/>
        <v>1.5523234548670131</v>
      </c>
      <c r="T631" s="19" t="str">
        <f t="shared" si="49"/>
        <v>🔴 Low</v>
      </c>
    </row>
    <row r="632" spans="1:20" x14ac:dyDescent="0.3">
      <c r="A632" s="16">
        <v>631</v>
      </c>
      <c r="B632" s="1" t="s">
        <v>63</v>
      </c>
      <c r="C632" s="1" t="s">
        <v>21</v>
      </c>
      <c r="D632" s="1" t="s">
        <v>13</v>
      </c>
      <c r="E632" s="1" t="s">
        <v>56</v>
      </c>
      <c r="F632" s="1" t="s">
        <v>24</v>
      </c>
      <c r="G632" s="1" t="s">
        <v>25</v>
      </c>
      <c r="H632" s="1" t="s">
        <v>54</v>
      </c>
      <c r="I632" s="1" t="s">
        <v>45</v>
      </c>
      <c r="J632" s="5">
        <v>2024</v>
      </c>
      <c r="K632" s="1">
        <v>16654.53</v>
      </c>
      <c r="L632" s="1">
        <v>90927</v>
      </c>
      <c r="M632" s="1">
        <v>1036</v>
      </c>
      <c r="N632" s="1">
        <v>61</v>
      </c>
      <c r="O632" s="1">
        <v>11495.11</v>
      </c>
      <c r="P632" s="8">
        <f t="shared" si="45"/>
        <v>1.1393755430180255</v>
      </c>
      <c r="Q632" s="10">
        <f t="shared" si="46"/>
        <v>11.095666023166023</v>
      </c>
      <c r="R632" s="12">
        <f t="shared" si="47"/>
        <v>188.4444262295082</v>
      </c>
      <c r="S632" s="2">
        <f t="shared" si="48"/>
        <v>1.448836070294238</v>
      </c>
      <c r="T632" s="18" t="str">
        <f t="shared" si="49"/>
        <v>🔴 Low</v>
      </c>
    </row>
    <row r="633" spans="1:20" x14ac:dyDescent="0.3">
      <c r="A633" s="17">
        <v>632</v>
      </c>
      <c r="B633" s="3" t="s">
        <v>72</v>
      </c>
      <c r="C633" s="3" t="s">
        <v>36</v>
      </c>
      <c r="D633" s="3" t="s">
        <v>29</v>
      </c>
      <c r="E633" s="3" t="s">
        <v>56</v>
      </c>
      <c r="F633" s="3" t="s">
        <v>31</v>
      </c>
      <c r="G633" s="3" t="s">
        <v>32</v>
      </c>
      <c r="H633" s="3" t="s">
        <v>81</v>
      </c>
      <c r="I633" s="3" t="s">
        <v>34</v>
      </c>
      <c r="J633" s="6">
        <v>2024</v>
      </c>
      <c r="K633" s="3">
        <v>17504.29</v>
      </c>
      <c r="L633" s="3">
        <v>617686</v>
      </c>
      <c r="M633" s="3">
        <v>19074</v>
      </c>
      <c r="N633" s="3">
        <v>476</v>
      </c>
      <c r="O633" s="3">
        <v>13615.49</v>
      </c>
      <c r="P633" s="9">
        <f t="shared" si="45"/>
        <v>3.0879767389903607</v>
      </c>
      <c r="Q633" s="11">
        <f t="shared" si="46"/>
        <v>0.71382457795952603</v>
      </c>
      <c r="R633" s="13">
        <f t="shared" si="47"/>
        <v>28.603970588235292</v>
      </c>
      <c r="S633" s="4">
        <f t="shared" si="48"/>
        <v>1.285615868396951</v>
      </c>
      <c r="T633" s="19" t="str">
        <f t="shared" si="49"/>
        <v>🟢 High</v>
      </c>
    </row>
    <row r="634" spans="1:20" x14ac:dyDescent="0.3">
      <c r="A634" s="16">
        <v>633</v>
      </c>
      <c r="B634" s="1" t="s">
        <v>66</v>
      </c>
      <c r="C634" s="1" t="s">
        <v>40</v>
      </c>
      <c r="D634" s="1" t="s">
        <v>41</v>
      </c>
      <c r="E634" s="1" t="s">
        <v>30</v>
      </c>
      <c r="F634" s="1" t="s">
        <v>24</v>
      </c>
      <c r="G634" s="1" t="s">
        <v>32</v>
      </c>
      <c r="H634" s="1" t="s">
        <v>26</v>
      </c>
      <c r="I634" s="1" t="s">
        <v>27</v>
      </c>
      <c r="J634" s="5">
        <v>2024</v>
      </c>
      <c r="K634" s="1">
        <v>14367.44</v>
      </c>
      <c r="L634" s="1">
        <v>140670</v>
      </c>
      <c r="M634" s="1">
        <v>3077</v>
      </c>
      <c r="N634" s="1">
        <v>314</v>
      </c>
      <c r="O634" s="1">
        <v>12811.13</v>
      </c>
      <c r="P634" s="8">
        <f t="shared" si="45"/>
        <v>2.18738892443307</v>
      </c>
      <c r="Q634" s="10">
        <f t="shared" si="46"/>
        <v>4.1635131621709451</v>
      </c>
      <c r="R634" s="12">
        <f t="shared" si="47"/>
        <v>40.799777070063691</v>
      </c>
      <c r="S634" s="2">
        <f t="shared" si="48"/>
        <v>1.1214810871484406</v>
      </c>
      <c r="T634" s="18" t="str">
        <f t="shared" si="49"/>
        <v>🟡 Mid</v>
      </c>
    </row>
    <row r="635" spans="1:20" x14ac:dyDescent="0.3">
      <c r="A635" s="17">
        <v>634</v>
      </c>
      <c r="B635" s="3" t="s">
        <v>66</v>
      </c>
      <c r="C635" s="3" t="s">
        <v>40</v>
      </c>
      <c r="D635" s="3" t="s">
        <v>22</v>
      </c>
      <c r="E635" s="3" t="s">
        <v>30</v>
      </c>
      <c r="F635" s="3" t="s">
        <v>31</v>
      </c>
      <c r="G635" s="3" t="s">
        <v>43</v>
      </c>
      <c r="H635" s="3" t="s">
        <v>58</v>
      </c>
      <c r="I635" s="3" t="s">
        <v>27</v>
      </c>
      <c r="J635" s="6">
        <v>2024</v>
      </c>
      <c r="K635" s="3">
        <v>2651.56</v>
      </c>
      <c r="L635" s="3">
        <v>392538</v>
      </c>
      <c r="M635" s="3">
        <v>5810</v>
      </c>
      <c r="N635" s="3">
        <v>78</v>
      </c>
      <c r="O635" s="3">
        <v>1635.8</v>
      </c>
      <c r="P635" s="9">
        <f t="shared" si="45"/>
        <v>1.4801114796529253</v>
      </c>
      <c r="Q635" s="11">
        <f t="shared" si="46"/>
        <v>0.28154905335628228</v>
      </c>
      <c r="R635" s="13">
        <f t="shared" si="47"/>
        <v>20.97179487179487</v>
      </c>
      <c r="S635" s="4">
        <f t="shared" si="48"/>
        <v>1.6209561071035579</v>
      </c>
      <c r="T635" s="19" t="str">
        <f t="shared" si="49"/>
        <v>🔴 Low</v>
      </c>
    </row>
    <row r="636" spans="1:20" x14ac:dyDescent="0.3">
      <c r="A636" s="16">
        <v>635</v>
      </c>
      <c r="B636" s="1" t="s">
        <v>70</v>
      </c>
      <c r="C636" s="1" t="s">
        <v>36</v>
      </c>
      <c r="D636" s="1" t="s">
        <v>13</v>
      </c>
      <c r="E636" s="1" t="s">
        <v>23</v>
      </c>
      <c r="F636" s="1" t="s">
        <v>47</v>
      </c>
      <c r="G636" s="1" t="s">
        <v>43</v>
      </c>
      <c r="H636" s="1" t="s">
        <v>52</v>
      </c>
      <c r="I636" s="1" t="s">
        <v>38</v>
      </c>
      <c r="J636" s="5">
        <v>2024</v>
      </c>
      <c r="K636" s="1">
        <v>1045.57</v>
      </c>
      <c r="L636" s="1">
        <v>154809</v>
      </c>
      <c r="M636" s="1">
        <v>4982</v>
      </c>
      <c r="N636" s="1">
        <v>266</v>
      </c>
      <c r="O636" s="1">
        <v>1020.04</v>
      </c>
      <c r="P636" s="8">
        <f t="shared" si="45"/>
        <v>3.2181591509537562</v>
      </c>
      <c r="Q636" s="10">
        <f t="shared" si="46"/>
        <v>0.20474508229626656</v>
      </c>
      <c r="R636" s="12">
        <f t="shared" si="47"/>
        <v>3.8347368421052632</v>
      </c>
      <c r="S636" s="2">
        <f t="shared" si="48"/>
        <v>1.0250284302576369</v>
      </c>
      <c r="T636" s="18" t="str">
        <f t="shared" si="49"/>
        <v>🟢 High</v>
      </c>
    </row>
    <row r="637" spans="1:20" x14ac:dyDescent="0.3">
      <c r="A637" s="17">
        <v>636</v>
      </c>
      <c r="B637" s="3" t="s">
        <v>87</v>
      </c>
      <c r="C637" s="3" t="s">
        <v>40</v>
      </c>
      <c r="D637" s="3" t="s">
        <v>46</v>
      </c>
      <c r="E637" s="3" t="s">
        <v>56</v>
      </c>
      <c r="F637" s="3" t="s">
        <v>24</v>
      </c>
      <c r="G637" s="3" t="s">
        <v>57</v>
      </c>
      <c r="H637" s="3" t="s">
        <v>81</v>
      </c>
      <c r="I637" s="3" t="s">
        <v>34</v>
      </c>
      <c r="J637" s="6">
        <v>2024</v>
      </c>
      <c r="K637" s="3">
        <v>1817.51</v>
      </c>
      <c r="L637" s="3">
        <v>51852</v>
      </c>
      <c r="M637" s="3">
        <v>1099</v>
      </c>
      <c r="N637" s="3">
        <v>71</v>
      </c>
      <c r="O637" s="3">
        <v>1527.95</v>
      </c>
      <c r="P637" s="9">
        <f t="shared" si="45"/>
        <v>2.1194939443030165</v>
      </c>
      <c r="Q637" s="11">
        <f t="shared" si="46"/>
        <v>1.3903093721565059</v>
      </c>
      <c r="R637" s="13">
        <f t="shared" si="47"/>
        <v>21.520422535211267</v>
      </c>
      <c r="S637" s="4">
        <f t="shared" si="48"/>
        <v>1.1895088190058576</v>
      </c>
      <c r="T637" s="19" t="str">
        <f t="shared" si="49"/>
        <v>🟡 Mid</v>
      </c>
    </row>
    <row r="638" spans="1:20" x14ac:dyDescent="0.3">
      <c r="A638" s="16">
        <v>637</v>
      </c>
      <c r="B638" s="1" t="s">
        <v>74</v>
      </c>
      <c r="C638" s="1" t="s">
        <v>21</v>
      </c>
      <c r="D638" s="1" t="s">
        <v>13</v>
      </c>
      <c r="E638" s="1" t="s">
        <v>56</v>
      </c>
      <c r="F638" s="1" t="s">
        <v>47</v>
      </c>
      <c r="G638" s="1" t="s">
        <v>32</v>
      </c>
      <c r="H638" s="1" t="s">
        <v>26</v>
      </c>
      <c r="I638" s="1" t="s">
        <v>27</v>
      </c>
      <c r="J638" s="5">
        <v>2023</v>
      </c>
      <c r="K638" s="1">
        <v>10342.9</v>
      </c>
      <c r="L638" s="1">
        <v>488326</v>
      </c>
      <c r="M638" s="1">
        <v>3683</v>
      </c>
      <c r="N638" s="1">
        <v>222</v>
      </c>
      <c r="O638" s="1">
        <v>9367.59</v>
      </c>
      <c r="P638" s="8">
        <f t="shared" si="45"/>
        <v>0.75420927822806894</v>
      </c>
      <c r="Q638" s="10">
        <f t="shared" si="46"/>
        <v>2.5434672821069779</v>
      </c>
      <c r="R638" s="12">
        <f t="shared" si="47"/>
        <v>42.196351351351353</v>
      </c>
      <c r="S638" s="2">
        <f t="shared" si="48"/>
        <v>1.1041153594467734</v>
      </c>
      <c r="T638" s="18" t="str">
        <f t="shared" si="49"/>
        <v>🔴 Low</v>
      </c>
    </row>
    <row r="639" spans="1:20" x14ac:dyDescent="0.3">
      <c r="A639" s="17">
        <v>638</v>
      </c>
      <c r="B639" s="3" t="s">
        <v>35</v>
      </c>
      <c r="C639" s="3" t="s">
        <v>36</v>
      </c>
      <c r="D639" s="3" t="s">
        <v>41</v>
      </c>
      <c r="E639" s="3" t="s">
        <v>30</v>
      </c>
      <c r="F639" s="3" t="s">
        <v>47</v>
      </c>
      <c r="G639" s="3" t="s">
        <v>43</v>
      </c>
      <c r="H639" s="3" t="s">
        <v>81</v>
      </c>
      <c r="I639" s="3" t="s">
        <v>34</v>
      </c>
      <c r="J639" s="6">
        <v>2023</v>
      </c>
      <c r="K639" s="3">
        <v>19182.55</v>
      </c>
      <c r="L639" s="3">
        <v>469620</v>
      </c>
      <c r="M639" s="3">
        <v>9675</v>
      </c>
      <c r="N639" s="3">
        <v>1150</v>
      </c>
      <c r="O639" s="3">
        <v>16713.47</v>
      </c>
      <c r="P639" s="9">
        <f t="shared" si="45"/>
        <v>2.0601763127635109</v>
      </c>
      <c r="Q639" s="11">
        <f t="shared" si="46"/>
        <v>1.7274904392764858</v>
      </c>
      <c r="R639" s="13">
        <f t="shared" si="47"/>
        <v>14.533452173913044</v>
      </c>
      <c r="S639" s="4">
        <f t="shared" si="48"/>
        <v>1.1477299447690994</v>
      </c>
      <c r="T639" s="19" t="str">
        <f t="shared" si="49"/>
        <v>🟡 Mid</v>
      </c>
    </row>
    <row r="640" spans="1:20" x14ac:dyDescent="0.3">
      <c r="A640" s="16">
        <v>639</v>
      </c>
      <c r="B640" s="1" t="s">
        <v>98</v>
      </c>
      <c r="C640" s="1" t="s">
        <v>36</v>
      </c>
      <c r="D640" s="1" t="s">
        <v>29</v>
      </c>
      <c r="E640" s="1" t="s">
        <v>23</v>
      </c>
      <c r="F640" s="1" t="s">
        <v>31</v>
      </c>
      <c r="G640" s="1" t="s">
        <v>57</v>
      </c>
      <c r="H640" s="1" t="s">
        <v>44</v>
      </c>
      <c r="I640" s="1" t="s">
        <v>45</v>
      </c>
      <c r="J640" s="5">
        <v>2023</v>
      </c>
      <c r="K640" s="1">
        <v>4252.32</v>
      </c>
      <c r="L640" s="1">
        <v>653758</v>
      </c>
      <c r="M640" s="1">
        <v>12990</v>
      </c>
      <c r="N640" s="1">
        <v>502</v>
      </c>
      <c r="O640" s="1">
        <v>3483.23</v>
      </c>
      <c r="P640" s="8">
        <f t="shared" si="45"/>
        <v>1.9869737731698884</v>
      </c>
      <c r="Q640" s="10">
        <f t="shared" si="46"/>
        <v>0.26814703618167823</v>
      </c>
      <c r="R640" s="12">
        <f t="shared" si="47"/>
        <v>6.9387051792828682</v>
      </c>
      <c r="S640" s="2">
        <f t="shared" si="48"/>
        <v>1.2207979375464726</v>
      </c>
      <c r="T640" s="18" t="str">
        <f t="shared" si="49"/>
        <v>🟡 Mid</v>
      </c>
    </row>
    <row r="641" spans="1:20" x14ac:dyDescent="0.3">
      <c r="A641" s="17">
        <v>640</v>
      </c>
      <c r="B641" s="3" t="s">
        <v>51</v>
      </c>
      <c r="C641" s="3" t="s">
        <v>40</v>
      </c>
      <c r="D641" s="3" t="s">
        <v>22</v>
      </c>
      <c r="E641" s="3" t="s">
        <v>61</v>
      </c>
      <c r="F641" s="3" t="s">
        <v>24</v>
      </c>
      <c r="G641" s="3" t="s">
        <v>57</v>
      </c>
      <c r="H641" s="3" t="s">
        <v>52</v>
      </c>
      <c r="I641" s="3" t="s">
        <v>38</v>
      </c>
      <c r="J641" s="6">
        <v>2023</v>
      </c>
      <c r="K641" s="3">
        <v>5283.09</v>
      </c>
      <c r="L641" s="3">
        <v>744893</v>
      </c>
      <c r="M641" s="3">
        <v>10288</v>
      </c>
      <c r="N641" s="3">
        <v>180</v>
      </c>
      <c r="O641" s="3">
        <v>4455.82</v>
      </c>
      <c r="P641" s="9">
        <f t="shared" si="45"/>
        <v>1.3811379620965696</v>
      </c>
      <c r="Q641" s="11">
        <f t="shared" si="46"/>
        <v>0.43310847589424567</v>
      </c>
      <c r="R641" s="13">
        <f t="shared" si="47"/>
        <v>24.754555555555555</v>
      </c>
      <c r="S641" s="4">
        <f t="shared" si="48"/>
        <v>1.1856605518176229</v>
      </c>
      <c r="T641" s="19" t="str">
        <f t="shared" si="49"/>
        <v>🔴 Low</v>
      </c>
    </row>
    <row r="642" spans="1:20" x14ac:dyDescent="0.3">
      <c r="A642" s="16">
        <v>641</v>
      </c>
      <c r="B642" s="1" t="s">
        <v>72</v>
      </c>
      <c r="C642" s="1" t="s">
        <v>36</v>
      </c>
      <c r="D642" s="1" t="s">
        <v>41</v>
      </c>
      <c r="E642" s="1" t="s">
        <v>61</v>
      </c>
      <c r="F642" s="1" t="s">
        <v>24</v>
      </c>
      <c r="G642" s="1" t="s">
        <v>50</v>
      </c>
      <c r="H642" s="1" t="s">
        <v>68</v>
      </c>
      <c r="I642" s="1" t="s">
        <v>27</v>
      </c>
      <c r="J642" s="5">
        <v>2024</v>
      </c>
      <c r="K642" s="1">
        <v>9021.84</v>
      </c>
      <c r="L642" s="1">
        <v>440092</v>
      </c>
      <c r="M642" s="1">
        <v>14987</v>
      </c>
      <c r="N642" s="1">
        <v>1357</v>
      </c>
      <c r="O642" s="1">
        <v>5758.01</v>
      </c>
      <c r="P642" s="8">
        <f t="shared" ref="P642:P705" si="50">IFERROR(M642/L642*100,0)</f>
        <v>3.4054243203693777</v>
      </c>
      <c r="Q642" s="10">
        <f t="shared" ref="Q642:Q705" si="51">IFERROR(O642/M642,0)</f>
        <v>0.38420030693267498</v>
      </c>
      <c r="R642" s="12">
        <f t="shared" ref="R642:R705" si="52">IFERROR(O642/N642,"-")</f>
        <v>4.2431908621960206</v>
      </c>
      <c r="S642" s="2">
        <f t="shared" ref="S642:S705" si="53">IFERROR(K642/O642,0)</f>
        <v>1.5668329857016574</v>
      </c>
      <c r="T642" s="18" t="str">
        <f t="shared" ref="T642:T705" si="54">IF(P642&gt;=3,"🟢 High",IF(P642&gt;=1.5,"🟡 Mid","🔴 Low"))</f>
        <v>🟢 High</v>
      </c>
    </row>
    <row r="643" spans="1:20" x14ac:dyDescent="0.3">
      <c r="A643" s="17">
        <v>642</v>
      </c>
      <c r="B643" s="3" t="s">
        <v>55</v>
      </c>
      <c r="C643" s="3" t="s">
        <v>36</v>
      </c>
      <c r="D643" s="3" t="s">
        <v>13</v>
      </c>
      <c r="E643" s="3" t="s">
        <v>30</v>
      </c>
      <c r="F643" s="3" t="s">
        <v>24</v>
      </c>
      <c r="G643" s="3" t="s">
        <v>43</v>
      </c>
      <c r="H643" s="3" t="s">
        <v>58</v>
      </c>
      <c r="I643" s="3" t="s">
        <v>27</v>
      </c>
      <c r="J643" s="6">
        <v>2023</v>
      </c>
      <c r="K643" s="3">
        <v>6482.49</v>
      </c>
      <c r="L643" s="3">
        <v>432060</v>
      </c>
      <c r="M643" s="3">
        <v>12496</v>
      </c>
      <c r="N643" s="3">
        <v>1218</v>
      </c>
      <c r="O643" s="3">
        <v>4049.9</v>
      </c>
      <c r="P643" s="9">
        <f t="shared" si="50"/>
        <v>2.8921908994121188</v>
      </c>
      <c r="Q643" s="11">
        <f t="shared" si="51"/>
        <v>0.32409571062740078</v>
      </c>
      <c r="R643" s="13">
        <f t="shared" si="52"/>
        <v>3.3250410509031201</v>
      </c>
      <c r="S643" s="4">
        <f t="shared" si="53"/>
        <v>1.6006543371441269</v>
      </c>
      <c r="T643" s="19" t="str">
        <f t="shared" si="54"/>
        <v>🟡 Mid</v>
      </c>
    </row>
    <row r="644" spans="1:20" x14ac:dyDescent="0.3">
      <c r="A644" s="16">
        <v>643</v>
      </c>
      <c r="B644" s="1" t="s">
        <v>92</v>
      </c>
      <c r="C644" s="1" t="s">
        <v>40</v>
      </c>
      <c r="D644" s="1" t="s">
        <v>22</v>
      </c>
      <c r="E644" s="1" t="s">
        <v>42</v>
      </c>
      <c r="F644" s="1" t="s">
        <v>47</v>
      </c>
      <c r="G644" s="1" t="s">
        <v>50</v>
      </c>
      <c r="H644" s="1" t="s">
        <v>58</v>
      </c>
      <c r="I644" s="1" t="s">
        <v>27</v>
      </c>
      <c r="J644" s="5">
        <v>2024</v>
      </c>
      <c r="K644" s="1">
        <v>3277.98</v>
      </c>
      <c r="L644" s="1">
        <v>344966</v>
      </c>
      <c r="M644" s="1">
        <v>5314</v>
      </c>
      <c r="N644" s="1">
        <v>98</v>
      </c>
      <c r="O644" s="1">
        <v>2038.21</v>
      </c>
      <c r="P644" s="8">
        <f t="shared" si="50"/>
        <v>1.5404416667149807</v>
      </c>
      <c r="Q644" s="10">
        <f t="shared" si="51"/>
        <v>0.38355476100865638</v>
      </c>
      <c r="R644" s="12">
        <f t="shared" si="52"/>
        <v>20.798061224489796</v>
      </c>
      <c r="S644" s="2">
        <f t="shared" si="53"/>
        <v>1.6082641141001173</v>
      </c>
      <c r="T644" s="18" t="str">
        <f t="shared" si="54"/>
        <v>🟡 Mid</v>
      </c>
    </row>
    <row r="645" spans="1:20" x14ac:dyDescent="0.3">
      <c r="A645" s="17">
        <v>644</v>
      </c>
      <c r="B645" s="3" t="s">
        <v>97</v>
      </c>
      <c r="C645" s="3" t="s">
        <v>36</v>
      </c>
      <c r="D645" s="3" t="s">
        <v>41</v>
      </c>
      <c r="E645" s="3" t="s">
        <v>61</v>
      </c>
      <c r="F645" s="3" t="s">
        <v>31</v>
      </c>
      <c r="G645" s="3" t="s">
        <v>50</v>
      </c>
      <c r="H645" s="3" t="s">
        <v>58</v>
      </c>
      <c r="I645" s="3" t="s">
        <v>27</v>
      </c>
      <c r="J645" s="6">
        <v>2024</v>
      </c>
      <c r="K645" s="3">
        <v>1682.32</v>
      </c>
      <c r="L645" s="3">
        <v>492402</v>
      </c>
      <c r="M645" s="3">
        <v>19647</v>
      </c>
      <c r="N645" s="3">
        <v>2048</v>
      </c>
      <c r="O645" s="3">
        <v>1055.6400000000001</v>
      </c>
      <c r="P645" s="9">
        <f t="shared" si="50"/>
        <v>3.9900325343926304</v>
      </c>
      <c r="Q645" s="11">
        <f t="shared" si="51"/>
        <v>5.3730340510001535E-2</v>
      </c>
      <c r="R645" s="13">
        <f t="shared" si="52"/>
        <v>0.51544921875000005</v>
      </c>
      <c r="S645" s="4">
        <f t="shared" si="53"/>
        <v>1.5936493501572504</v>
      </c>
      <c r="T645" s="19" t="str">
        <f t="shared" si="54"/>
        <v>🟢 High</v>
      </c>
    </row>
    <row r="646" spans="1:20" x14ac:dyDescent="0.3">
      <c r="A646" s="16">
        <v>645</v>
      </c>
      <c r="B646" s="1" t="s">
        <v>35</v>
      </c>
      <c r="C646" s="1" t="s">
        <v>36</v>
      </c>
      <c r="D646" s="1" t="s">
        <v>46</v>
      </c>
      <c r="E646" s="1" t="s">
        <v>42</v>
      </c>
      <c r="F646" s="1" t="s">
        <v>47</v>
      </c>
      <c r="G646" s="1" t="s">
        <v>32</v>
      </c>
      <c r="H646" s="1" t="s">
        <v>79</v>
      </c>
      <c r="I646" s="1" t="s">
        <v>45</v>
      </c>
      <c r="J646" s="5">
        <v>2023</v>
      </c>
      <c r="K646" s="1">
        <v>5303.16</v>
      </c>
      <c r="L646" s="1">
        <v>586652</v>
      </c>
      <c r="M646" s="1">
        <v>15545</v>
      </c>
      <c r="N646" s="1">
        <v>1151</v>
      </c>
      <c r="O646" s="1">
        <v>4175.24</v>
      </c>
      <c r="P646" s="8">
        <f t="shared" si="50"/>
        <v>2.6497821536447503</v>
      </c>
      <c r="Q646" s="10">
        <f t="shared" si="51"/>
        <v>0.26859054358314571</v>
      </c>
      <c r="R646" s="12">
        <f t="shared" si="52"/>
        <v>3.6274891398783664</v>
      </c>
      <c r="S646" s="2">
        <f t="shared" si="53"/>
        <v>1.2701449497513915</v>
      </c>
      <c r="T646" s="18" t="str">
        <f t="shared" si="54"/>
        <v>🟡 Mid</v>
      </c>
    </row>
    <row r="647" spans="1:20" x14ac:dyDescent="0.3">
      <c r="A647" s="17">
        <v>646</v>
      </c>
      <c r="B647" s="3" t="s">
        <v>63</v>
      </c>
      <c r="C647" s="3" t="s">
        <v>21</v>
      </c>
      <c r="D647" s="3" t="s">
        <v>46</v>
      </c>
      <c r="E647" s="3" t="s">
        <v>23</v>
      </c>
      <c r="F647" s="3" t="s">
        <v>31</v>
      </c>
      <c r="G647" s="3" t="s">
        <v>25</v>
      </c>
      <c r="H647" s="3" t="s">
        <v>83</v>
      </c>
      <c r="I647" s="3" t="s">
        <v>38</v>
      </c>
      <c r="J647" s="6">
        <v>2024</v>
      </c>
      <c r="K647" s="3">
        <v>19246.37</v>
      </c>
      <c r="L647" s="3">
        <v>587119</v>
      </c>
      <c r="M647" s="3">
        <v>2870</v>
      </c>
      <c r="N647" s="3">
        <v>192</v>
      </c>
      <c r="O647" s="3">
        <v>11555.91</v>
      </c>
      <c r="P647" s="9">
        <f t="shared" si="50"/>
        <v>0.48882764822804237</v>
      </c>
      <c r="Q647" s="11">
        <f t="shared" si="51"/>
        <v>4.0264494773519166</v>
      </c>
      <c r="R647" s="13">
        <f t="shared" si="52"/>
        <v>60.187031249999997</v>
      </c>
      <c r="S647" s="4">
        <f t="shared" si="53"/>
        <v>1.6655001639853546</v>
      </c>
      <c r="T647" s="19" t="str">
        <f t="shared" si="54"/>
        <v>🔴 Low</v>
      </c>
    </row>
    <row r="648" spans="1:20" x14ac:dyDescent="0.3">
      <c r="A648" s="16">
        <v>647</v>
      </c>
      <c r="B648" s="1" t="s">
        <v>77</v>
      </c>
      <c r="C648" s="1" t="s">
        <v>40</v>
      </c>
      <c r="D648" s="1" t="s">
        <v>46</v>
      </c>
      <c r="E648" s="1" t="s">
        <v>42</v>
      </c>
      <c r="F648" s="1" t="s">
        <v>24</v>
      </c>
      <c r="G648" s="1" t="s">
        <v>50</v>
      </c>
      <c r="H648" s="1" t="s">
        <v>52</v>
      </c>
      <c r="I648" s="1" t="s">
        <v>38</v>
      </c>
      <c r="J648" s="5">
        <v>2024</v>
      </c>
      <c r="K648" s="1">
        <v>16870.009999999998</v>
      </c>
      <c r="L648" s="1">
        <v>403619</v>
      </c>
      <c r="M648" s="1">
        <v>10337</v>
      </c>
      <c r="N648" s="1">
        <v>545</v>
      </c>
      <c r="O648" s="1">
        <v>16078.59</v>
      </c>
      <c r="P648" s="8">
        <f t="shared" si="50"/>
        <v>2.5610786409955923</v>
      </c>
      <c r="Q648" s="10">
        <f t="shared" si="51"/>
        <v>1.5554406500919029</v>
      </c>
      <c r="R648" s="12">
        <f t="shared" si="52"/>
        <v>29.501999999999999</v>
      </c>
      <c r="S648" s="2">
        <f t="shared" si="53"/>
        <v>1.0492219777978042</v>
      </c>
      <c r="T648" s="18" t="str">
        <f t="shared" si="54"/>
        <v>🟡 Mid</v>
      </c>
    </row>
    <row r="649" spans="1:20" x14ac:dyDescent="0.3">
      <c r="A649" s="17">
        <v>648</v>
      </c>
      <c r="B649" s="3" t="s">
        <v>51</v>
      </c>
      <c r="C649" s="3" t="s">
        <v>40</v>
      </c>
      <c r="D649" s="3" t="s">
        <v>46</v>
      </c>
      <c r="E649" s="3" t="s">
        <v>61</v>
      </c>
      <c r="F649" s="3" t="s">
        <v>31</v>
      </c>
      <c r="G649" s="3" t="s">
        <v>57</v>
      </c>
      <c r="H649" s="3" t="s">
        <v>52</v>
      </c>
      <c r="I649" s="3" t="s">
        <v>38</v>
      </c>
      <c r="J649" s="6">
        <v>2023</v>
      </c>
      <c r="K649" s="3">
        <v>8208.4500000000007</v>
      </c>
      <c r="L649" s="3">
        <v>133950</v>
      </c>
      <c r="M649" s="3">
        <v>2137</v>
      </c>
      <c r="N649" s="3">
        <v>191</v>
      </c>
      <c r="O649" s="3">
        <v>7424.8</v>
      </c>
      <c r="P649" s="9">
        <f t="shared" si="50"/>
        <v>1.5953714072415082</v>
      </c>
      <c r="Q649" s="11">
        <f t="shared" si="51"/>
        <v>3.4744033692091718</v>
      </c>
      <c r="R649" s="13">
        <f t="shared" si="52"/>
        <v>38.87329842931937</v>
      </c>
      <c r="S649" s="4">
        <f t="shared" si="53"/>
        <v>1.1055449305031786</v>
      </c>
      <c r="T649" s="19" t="str">
        <f t="shared" si="54"/>
        <v>🟡 Mid</v>
      </c>
    </row>
    <row r="650" spans="1:20" x14ac:dyDescent="0.3">
      <c r="A650" s="16">
        <v>649</v>
      </c>
      <c r="B650" s="1" t="s">
        <v>82</v>
      </c>
      <c r="C650" s="1" t="s">
        <v>40</v>
      </c>
      <c r="D650" s="1" t="s">
        <v>46</v>
      </c>
      <c r="E650" s="1" t="s">
        <v>61</v>
      </c>
      <c r="F650" s="1" t="s">
        <v>31</v>
      </c>
      <c r="G650" s="1" t="s">
        <v>43</v>
      </c>
      <c r="H650" s="1" t="s">
        <v>44</v>
      </c>
      <c r="I650" s="1" t="s">
        <v>45</v>
      </c>
      <c r="J650" s="5">
        <v>2024</v>
      </c>
      <c r="K650" s="1">
        <v>12885.81</v>
      </c>
      <c r="L650" s="1">
        <v>794256</v>
      </c>
      <c r="M650" s="1">
        <v>11876</v>
      </c>
      <c r="N650" s="1">
        <v>946</v>
      </c>
      <c r="O650" s="1">
        <v>9472.2099999999991</v>
      </c>
      <c r="P650" s="8">
        <f t="shared" si="50"/>
        <v>1.4952357929936948</v>
      </c>
      <c r="Q650" s="10">
        <f t="shared" si="51"/>
        <v>0.79759262377905016</v>
      </c>
      <c r="R650" s="12">
        <f t="shared" si="52"/>
        <v>10.012906976744185</v>
      </c>
      <c r="S650" s="2">
        <f t="shared" si="53"/>
        <v>1.3603805236581539</v>
      </c>
      <c r="T650" s="18" t="str">
        <f t="shared" si="54"/>
        <v>🔴 Low</v>
      </c>
    </row>
    <row r="651" spans="1:20" x14ac:dyDescent="0.3">
      <c r="A651" s="17">
        <v>650</v>
      </c>
      <c r="B651" s="3" t="s">
        <v>89</v>
      </c>
      <c r="C651" s="3" t="s">
        <v>36</v>
      </c>
      <c r="D651" s="3" t="s">
        <v>29</v>
      </c>
      <c r="E651" s="3" t="s">
        <v>23</v>
      </c>
      <c r="F651" s="3" t="s">
        <v>24</v>
      </c>
      <c r="G651" s="3" t="s">
        <v>25</v>
      </c>
      <c r="H651" s="3" t="s">
        <v>44</v>
      </c>
      <c r="I651" s="3" t="s">
        <v>45</v>
      </c>
      <c r="J651" s="6">
        <v>2023</v>
      </c>
      <c r="K651" s="3">
        <v>12371.34</v>
      </c>
      <c r="L651" s="3">
        <v>9487</v>
      </c>
      <c r="M651" s="3">
        <v>229</v>
      </c>
      <c r="N651" s="3">
        <v>8</v>
      </c>
      <c r="O651" s="3">
        <v>10918.16</v>
      </c>
      <c r="P651" s="9">
        <f t="shared" si="50"/>
        <v>2.413829450827448</v>
      </c>
      <c r="Q651" s="11">
        <f t="shared" si="51"/>
        <v>47.677554585152841</v>
      </c>
      <c r="R651" s="13">
        <f t="shared" si="52"/>
        <v>1364.77</v>
      </c>
      <c r="S651" s="4">
        <f t="shared" si="53"/>
        <v>1.1330975182631506</v>
      </c>
      <c r="T651" s="19" t="str">
        <f t="shared" si="54"/>
        <v>🟡 Mid</v>
      </c>
    </row>
    <row r="652" spans="1:20" x14ac:dyDescent="0.3">
      <c r="A652" s="16">
        <v>651</v>
      </c>
      <c r="B652" s="1" t="s">
        <v>67</v>
      </c>
      <c r="C652" s="1" t="s">
        <v>40</v>
      </c>
      <c r="D652" s="1" t="s">
        <v>41</v>
      </c>
      <c r="E652" s="1" t="s">
        <v>61</v>
      </c>
      <c r="F652" s="1" t="s">
        <v>24</v>
      </c>
      <c r="G652" s="1" t="s">
        <v>57</v>
      </c>
      <c r="H652" s="1" t="s">
        <v>81</v>
      </c>
      <c r="I652" s="1" t="s">
        <v>34</v>
      </c>
      <c r="J652" s="5">
        <v>2023</v>
      </c>
      <c r="K652" s="1">
        <v>17905.16</v>
      </c>
      <c r="L652" s="1">
        <v>709237</v>
      </c>
      <c r="M652" s="1">
        <v>9634</v>
      </c>
      <c r="N652" s="1">
        <v>1327</v>
      </c>
      <c r="O652" s="1">
        <v>13573.51</v>
      </c>
      <c r="P652" s="8">
        <f t="shared" si="50"/>
        <v>1.3583611684105596</v>
      </c>
      <c r="Q652" s="10">
        <f t="shared" si="51"/>
        <v>1.4089173759601412</v>
      </c>
      <c r="R652" s="12">
        <f t="shared" si="52"/>
        <v>10.228718914845516</v>
      </c>
      <c r="S652" s="2">
        <f t="shared" si="53"/>
        <v>1.3191252667880304</v>
      </c>
      <c r="T652" s="18" t="str">
        <f t="shared" si="54"/>
        <v>🔴 Low</v>
      </c>
    </row>
    <row r="653" spans="1:20" x14ac:dyDescent="0.3">
      <c r="A653" s="17">
        <v>652</v>
      </c>
      <c r="B653" s="3" t="s">
        <v>78</v>
      </c>
      <c r="C653" s="3" t="s">
        <v>21</v>
      </c>
      <c r="D653" s="3" t="s">
        <v>41</v>
      </c>
      <c r="E653" s="3" t="s">
        <v>30</v>
      </c>
      <c r="F653" s="3" t="s">
        <v>31</v>
      </c>
      <c r="G653" s="3" t="s">
        <v>57</v>
      </c>
      <c r="H653" s="3" t="s">
        <v>58</v>
      </c>
      <c r="I653" s="3" t="s">
        <v>27</v>
      </c>
      <c r="J653" s="6">
        <v>2024</v>
      </c>
      <c r="K653" s="3">
        <v>7724.37</v>
      </c>
      <c r="L653" s="3">
        <v>207365</v>
      </c>
      <c r="M653" s="3">
        <v>1631</v>
      </c>
      <c r="N653" s="3">
        <v>155</v>
      </c>
      <c r="O653" s="3">
        <v>5353.29</v>
      </c>
      <c r="P653" s="9">
        <f t="shared" si="50"/>
        <v>0.78653581848431509</v>
      </c>
      <c r="Q653" s="11">
        <f t="shared" si="51"/>
        <v>3.2822133660331083</v>
      </c>
      <c r="R653" s="13">
        <f t="shared" si="52"/>
        <v>34.537354838709675</v>
      </c>
      <c r="S653" s="4">
        <f t="shared" si="53"/>
        <v>1.4429201481705642</v>
      </c>
      <c r="T653" s="19" t="str">
        <f t="shared" si="54"/>
        <v>🔴 Low</v>
      </c>
    </row>
    <row r="654" spans="1:20" x14ac:dyDescent="0.3">
      <c r="A654" s="16">
        <v>653</v>
      </c>
      <c r="B654" s="1" t="s">
        <v>94</v>
      </c>
      <c r="C654" s="1" t="s">
        <v>36</v>
      </c>
      <c r="D654" s="1" t="s">
        <v>13</v>
      </c>
      <c r="E654" s="1" t="s">
        <v>30</v>
      </c>
      <c r="F654" s="1" t="s">
        <v>24</v>
      </c>
      <c r="G654" s="1" t="s">
        <v>32</v>
      </c>
      <c r="H654" s="1" t="s">
        <v>44</v>
      </c>
      <c r="I654" s="1" t="s">
        <v>45</v>
      </c>
      <c r="J654" s="5">
        <v>2024</v>
      </c>
      <c r="K654" s="1">
        <v>16264.08</v>
      </c>
      <c r="L654" s="1">
        <v>236890</v>
      </c>
      <c r="M654" s="1">
        <v>6769</v>
      </c>
      <c r="N654" s="1">
        <v>510</v>
      </c>
      <c r="O654" s="1">
        <v>11676.27</v>
      </c>
      <c r="P654" s="8">
        <f t="shared" si="50"/>
        <v>2.8574443834691206</v>
      </c>
      <c r="Q654" s="10">
        <f t="shared" si="51"/>
        <v>1.7249623282611908</v>
      </c>
      <c r="R654" s="12">
        <f t="shared" si="52"/>
        <v>22.89464705882353</v>
      </c>
      <c r="S654" s="2">
        <f t="shared" si="53"/>
        <v>1.3929174299669329</v>
      </c>
      <c r="T654" s="18" t="str">
        <f t="shared" si="54"/>
        <v>🟡 Mid</v>
      </c>
    </row>
    <row r="655" spans="1:20" x14ac:dyDescent="0.3">
      <c r="A655" s="17">
        <v>654</v>
      </c>
      <c r="B655" s="3" t="s">
        <v>63</v>
      </c>
      <c r="C655" s="3" t="s">
        <v>21</v>
      </c>
      <c r="D655" s="3" t="s">
        <v>22</v>
      </c>
      <c r="E655" s="3" t="s">
        <v>30</v>
      </c>
      <c r="F655" s="3" t="s">
        <v>31</v>
      </c>
      <c r="G655" s="3" t="s">
        <v>50</v>
      </c>
      <c r="H655" s="3" t="s">
        <v>58</v>
      </c>
      <c r="I655" s="3" t="s">
        <v>27</v>
      </c>
      <c r="J655" s="6">
        <v>2024</v>
      </c>
      <c r="K655" s="3">
        <v>11597.49</v>
      </c>
      <c r="L655" s="3">
        <v>523008</v>
      </c>
      <c r="M655" s="3">
        <v>6697</v>
      </c>
      <c r="N655" s="3">
        <v>50</v>
      </c>
      <c r="O655" s="3">
        <v>7902.34</v>
      </c>
      <c r="P655" s="9">
        <f t="shared" si="50"/>
        <v>1.2804775452765542</v>
      </c>
      <c r="Q655" s="11">
        <f t="shared" si="51"/>
        <v>1.1799820815290429</v>
      </c>
      <c r="R655" s="13">
        <f t="shared" si="52"/>
        <v>158.04679999999999</v>
      </c>
      <c r="S655" s="4">
        <f t="shared" si="53"/>
        <v>1.4676020014324871</v>
      </c>
      <c r="T655" s="19" t="str">
        <f t="shared" si="54"/>
        <v>🔴 Low</v>
      </c>
    </row>
    <row r="656" spans="1:20" x14ac:dyDescent="0.3">
      <c r="A656" s="16">
        <v>655</v>
      </c>
      <c r="B656" s="1" t="s">
        <v>49</v>
      </c>
      <c r="C656" s="1" t="s">
        <v>21</v>
      </c>
      <c r="D656" s="1" t="s">
        <v>22</v>
      </c>
      <c r="E656" s="1" t="s">
        <v>61</v>
      </c>
      <c r="F656" s="1" t="s">
        <v>24</v>
      </c>
      <c r="G656" s="1" t="s">
        <v>57</v>
      </c>
      <c r="H656" s="1" t="s">
        <v>26</v>
      </c>
      <c r="I656" s="1" t="s">
        <v>27</v>
      </c>
      <c r="J656" s="5">
        <v>2024</v>
      </c>
      <c r="K656" s="1">
        <v>18704.490000000002</v>
      </c>
      <c r="L656" s="1">
        <v>244038</v>
      </c>
      <c r="M656" s="1">
        <v>3153</v>
      </c>
      <c r="N656" s="1">
        <v>28</v>
      </c>
      <c r="O656" s="1">
        <v>17881.87</v>
      </c>
      <c r="P656" s="8">
        <f t="shared" si="50"/>
        <v>1.292011899786099</v>
      </c>
      <c r="Q656" s="10">
        <f t="shared" si="51"/>
        <v>5.6713828100222008</v>
      </c>
      <c r="R656" s="12">
        <f t="shared" si="52"/>
        <v>638.6382142857143</v>
      </c>
      <c r="S656" s="2">
        <f t="shared" si="53"/>
        <v>1.0460030186999461</v>
      </c>
      <c r="T656" s="18" t="str">
        <f t="shared" si="54"/>
        <v>🔴 Low</v>
      </c>
    </row>
    <row r="657" spans="1:20" x14ac:dyDescent="0.3">
      <c r="A657" s="17">
        <v>656</v>
      </c>
      <c r="B657" s="3" t="s">
        <v>71</v>
      </c>
      <c r="C657" s="3" t="s">
        <v>36</v>
      </c>
      <c r="D657" s="3" t="s">
        <v>29</v>
      </c>
      <c r="E657" s="3" t="s">
        <v>56</v>
      </c>
      <c r="F657" s="3" t="s">
        <v>24</v>
      </c>
      <c r="G657" s="3" t="s">
        <v>50</v>
      </c>
      <c r="H657" s="3" t="s">
        <v>44</v>
      </c>
      <c r="I657" s="3" t="s">
        <v>45</v>
      </c>
      <c r="J657" s="6">
        <v>2023</v>
      </c>
      <c r="K657" s="3">
        <v>17150.27</v>
      </c>
      <c r="L657" s="3">
        <v>343689</v>
      </c>
      <c r="M657" s="3">
        <v>7735</v>
      </c>
      <c r="N657" s="3">
        <v>177</v>
      </c>
      <c r="O657" s="3">
        <v>17458.03</v>
      </c>
      <c r="P657" s="9">
        <f t="shared" si="50"/>
        <v>2.2505811940446159</v>
      </c>
      <c r="Q657" s="11">
        <f t="shared" si="51"/>
        <v>2.2570174531350999</v>
      </c>
      <c r="R657" s="13">
        <f t="shared" si="52"/>
        <v>98.632937853107336</v>
      </c>
      <c r="S657" s="4">
        <f t="shared" si="53"/>
        <v>0.98237143595239562</v>
      </c>
      <c r="T657" s="19" t="str">
        <f t="shared" si="54"/>
        <v>🟡 Mid</v>
      </c>
    </row>
    <row r="658" spans="1:20" x14ac:dyDescent="0.3">
      <c r="A658" s="16">
        <v>657</v>
      </c>
      <c r="B658" s="1" t="s">
        <v>85</v>
      </c>
      <c r="C658" s="1" t="s">
        <v>40</v>
      </c>
      <c r="D658" s="1" t="s">
        <v>29</v>
      </c>
      <c r="E658" s="1" t="s">
        <v>56</v>
      </c>
      <c r="F658" s="1" t="s">
        <v>47</v>
      </c>
      <c r="G658" s="1" t="s">
        <v>43</v>
      </c>
      <c r="H658" s="1" t="s">
        <v>81</v>
      </c>
      <c r="I658" s="1" t="s">
        <v>34</v>
      </c>
      <c r="J658" s="5">
        <v>2023</v>
      </c>
      <c r="K658" s="1">
        <v>17734.150000000001</v>
      </c>
      <c r="L658" s="1">
        <v>240455</v>
      </c>
      <c r="M658" s="1">
        <v>6422</v>
      </c>
      <c r="N658" s="1">
        <v>166</v>
      </c>
      <c r="O658" s="1">
        <v>12995.97</v>
      </c>
      <c r="P658" s="8">
        <f t="shared" si="50"/>
        <v>2.6707699985444262</v>
      </c>
      <c r="Q658" s="10">
        <f t="shared" si="51"/>
        <v>2.0236639676113359</v>
      </c>
      <c r="R658" s="12">
        <f t="shared" si="52"/>
        <v>78.288975903614457</v>
      </c>
      <c r="S658" s="2">
        <f t="shared" si="53"/>
        <v>1.3645884070215615</v>
      </c>
      <c r="T658" s="18" t="str">
        <f t="shared" si="54"/>
        <v>🟡 Mid</v>
      </c>
    </row>
    <row r="659" spans="1:20" x14ac:dyDescent="0.3">
      <c r="A659" s="17">
        <v>658</v>
      </c>
      <c r="B659" s="3" t="s">
        <v>84</v>
      </c>
      <c r="C659" s="3" t="s">
        <v>40</v>
      </c>
      <c r="D659" s="3" t="s">
        <v>13</v>
      </c>
      <c r="E659" s="3" t="s">
        <v>42</v>
      </c>
      <c r="F659" s="3" t="s">
        <v>31</v>
      </c>
      <c r="G659" s="3" t="s">
        <v>57</v>
      </c>
      <c r="H659" s="3" t="s">
        <v>54</v>
      </c>
      <c r="I659" s="3" t="s">
        <v>45</v>
      </c>
      <c r="J659" s="6">
        <v>2023</v>
      </c>
      <c r="K659" s="3">
        <v>19572.86</v>
      </c>
      <c r="L659" s="3">
        <v>449407</v>
      </c>
      <c r="M659" s="3">
        <v>8653</v>
      </c>
      <c r="N659" s="3">
        <v>1012</v>
      </c>
      <c r="O659" s="3">
        <v>19281.97</v>
      </c>
      <c r="P659" s="9">
        <f t="shared" si="50"/>
        <v>1.9254261727120403</v>
      </c>
      <c r="Q659" s="11">
        <f t="shared" si="51"/>
        <v>2.2283566393158445</v>
      </c>
      <c r="R659" s="13">
        <f t="shared" si="52"/>
        <v>19.053330039525694</v>
      </c>
      <c r="S659" s="4">
        <f t="shared" si="53"/>
        <v>1.0150861141263054</v>
      </c>
      <c r="T659" s="19" t="str">
        <f t="shared" si="54"/>
        <v>🟡 Mid</v>
      </c>
    </row>
    <row r="660" spans="1:20" x14ac:dyDescent="0.3">
      <c r="A660" s="16">
        <v>659</v>
      </c>
      <c r="B660" s="1" t="s">
        <v>65</v>
      </c>
      <c r="C660" s="1" t="s">
        <v>36</v>
      </c>
      <c r="D660" s="1" t="s">
        <v>13</v>
      </c>
      <c r="E660" s="1" t="s">
        <v>23</v>
      </c>
      <c r="F660" s="1" t="s">
        <v>24</v>
      </c>
      <c r="G660" s="1" t="s">
        <v>57</v>
      </c>
      <c r="H660" s="1" t="s">
        <v>68</v>
      </c>
      <c r="I660" s="1" t="s">
        <v>27</v>
      </c>
      <c r="J660" s="5">
        <v>2024</v>
      </c>
      <c r="K660" s="1">
        <v>8923</v>
      </c>
      <c r="L660" s="1">
        <v>30190</v>
      </c>
      <c r="M660" s="1">
        <v>668</v>
      </c>
      <c r="N660" s="1">
        <v>49</v>
      </c>
      <c r="O660" s="1">
        <v>6292.25</v>
      </c>
      <c r="P660" s="8">
        <f t="shared" si="50"/>
        <v>2.2126531964226563</v>
      </c>
      <c r="Q660" s="10">
        <f t="shared" si="51"/>
        <v>9.4195359281437128</v>
      </c>
      <c r="R660" s="12">
        <f t="shared" si="52"/>
        <v>128.41326530612244</v>
      </c>
      <c r="S660" s="2">
        <f t="shared" si="53"/>
        <v>1.4180936866780562</v>
      </c>
      <c r="T660" s="18" t="str">
        <f t="shared" si="54"/>
        <v>🟡 Mid</v>
      </c>
    </row>
    <row r="661" spans="1:20" x14ac:dyDescent="0.3">
      <c r="A661" s="17">
        <v>660</v>
      </c>
      <c r="B661" s="3" t="s">
        <v>89</v>
      </c>
      <c r="C661" s="3" t="s">
        <v>36</v>
      </c>
      <c r="D661" s="3" t="s">
        <v>46</v>
      </c>
      <c r="E661" s="3" t="s">
        <v>23</v>
      </c>
      <c r="F661" s="3" t="s">
        <v>24</v>
      </c>
      <c r="G661" s="3" t="s">
        <v>43</v>
      </c>
      <c r="H661" s="3" t="s">
        <v>81</v>
      </c>
      <c r="I661" s="3" t="s">
        <v>34</v>
      </c>
      <c r="J661" s="6">
        <v>2023</v>
      </c>
      <c r="K661" s="3">
        <v>18899.18</v>
      </c>
      <c r="L661" s="3">
        <v>634108</v>
      </c>
      <c r="M661" s="3">
        <v>15311</v>
      </c>
      <c r="N661" s="3">
        <v>1181</v>
      </c>
      <c r="O661" s="3">
        <v>17404.66</v>
      </c>
      <c r="P661" s="9">
        <f t="shared" si="50"/>
        <v>2.4145729118699024</v>
      </c>
      <c r="Q661" s="11">
        <f t="shared" si="51"/>
        <v>1.136742211481941</v>
      </c>
      <c r="R661" s="13">
        <f t="shared" si="52"/>
        <v>14.737222692633361</v>
      </c>
      <c r="S661" s="4">
        <f t="shared" si="53"/>
        <v>1.0858689569345221</v>
      </c>
      <c r="T661" s="19" t="str">
        <f t="shared" si="54"/>
        <v>🟡 Mid</v>
      </c>
    </row>
    <row r="662" spans="1:20" x14ac:dyDescent="0.3">
      <c r="A662" s="16">
        <v>661</v>
      </c>
      <c r="B662" s="1" t="s">
        <v>53</v>
      </c>
      <c r="C662" s="1" t="s">
        <v>21</v>
      </c>
      <c r="D662" s="1" t="s">
        <v>29</v>
      </c>
      <c r="E662" s="1" t="s">
        <v>42</v>
      </c>
      <c r="F662" s="1" t="s">
        <v>24</v>
      </c>
      <c r="G662" s="1" t="s">
        <v>57</v>
      </c>
      <c r="H662" s="1" t="s">
        <v>68</v>
      </c>
      <c r="I662" s="1" t="s">
        <v>27</v>
      </c>
      <c r="J662" s="5">
        <v>2024</v>
      </c>
      <c r="K662" s="1">
        <v>6608.95</v>
      </c>
      <c r="L662" s="1">
        <v>732044</v>
      </c>
      <c r="M662" s="1">
        <v>6878</v>
      </c>
      <c r="N662" s="1">
        <v>258</v>
      </c>
      <c r="O662" s="1">
        <v>5192.03</v>
      </c>
      <c r="P662" s="8">
        <f t="shared" si="50"/>
        <v>0.93956100999393466</v>
      </c>
      <c r="Q662" s="10">
        <f t="shared" si="51"/>
        <v>0.7548749636522244</v>
      </c>
      <c r="R662" s="12">
        <f t="shared" si="52"/>
        <v>20.124147286821703</v>
      </c>
      <c r="S662" s="2">
        <f t="shared" si="53"/>
        <v>1.2729028915472369</v>
      </c>
      <c r="T662" s="18" t="str">
        <f t="shared" si="54"/>
        <v>🔴 Low</v>
      </c>
    </row>
    <row r="663" spans="1:20" x14ac:dyDescent="0.3">
      <c r="A663" s="17">
        <v>662</v>
      </c>
      <c r="B663" s="3" t="s">
        <v>80</v>
      </c>
      <c r="C663" s="3" t="s">
        <v>40</v>
      </c>
      <c r="D663" s="3" t="s">
        <v>22</v>
      </c>
      <c r="E663" s="3" t="s">
        <v>42</v>
      </c>
      <c r="F663" s="3" t="s">
        <v>31</v>
      </c>
      <c r="G663" s="3" t="s">
        <v>57</v>
      </c>
      <c r="H663" s="3" t="s">
        <v>81</v>
      </c>
      <c r="I663" s="3" t="s">
        <v>34</v>
      </c>
      <c r="J663" s="6">
        <v>2023</v>
      </c>
      <c r="K663" s="3">
        <v>6250.88</v>
      </c>
      <c r="L663" s="3">
        <v>404985</v>
      </c>
      <c r="M663" s="3">
        <v>6900</v>
      </c>
      <c r="N663" s="3">
        <v>76</v>
      </c>
      <c r="O663" s="3">
        <v>5371.17</v>
      </c>
      <c r="P663" s="9">
        <f t="shared" si="50"/>
        <v>1.7037668061780067</v>
      </c>
      <c r="Q663" s="11">
        <f t="shared" si="51"/>
        <v>0.77843043478260876</v>
      </c>
      <c r="R663" s="13">
        <f t="shared" si="52"/>
        <v>70.673289473684207</v>
      </c>
      <c r="S663" s="4">
        <f t="shared" si="53"/>
        <v>1.1637836821400178</v>
      </c>
      <c r="T663" s="19" t="str">
        <f t="shared" si="54"/>
        <v>🟡 Mid</v>
      </c>
    </row>
    <row r="664" spans="1:20" x14ac:dyDescent="0.3">
      <c r="A664" s="16">
        <v>663</v>
      </c>
      <c r="B664" s="1" t="s">
        <v>87</v>
      </c>
      <c r="C664" s="1" t="s">
        <v>40</v>
      </c>
      <c r="D664" s="1" t="s">
        <v>29</v>
      </c>
      <c r="E664" s="1" t="s">
        <v>61</v>
      </c>
      <c r="F664" s="1" t="s">
        <v>24</v>
      </c>
      <c r="G664" s="1" t="s">
        <v>50</v>
      </c>
      <c r="H664" s="1" t="s">
        <v>33</v>
      </c>
      <c r="I664" s="1" t="s">
        <v>34</v>
      </c>
      <c r="J664" s="5">
        <v>2024</v>
      </c>
      <c r="K664" s="1">
        <v>16005.71</v>
      </c>
      <c r="L664" s="1">
        <v>655338</v>
      </c>
      <c r="M664" s="1">
        <v>8299</v>
      </c>
      <c r="N664" s="1">
        <v>316</v>
      </c>
      <c r="O664" s="1">
        <v>14866.59</v>
      </c>
      <c r="P664" s="8">
        <f t="shared" si="50"/>
        <v>1.2663694154772043</v>
      </c>
      <c r="Q664" s="10">
        <f t="shared" si="51"/>
        <v>1.7913712495481384</v>
      </c>
      <c r="R664" s="12">
        <f t="shared" si="52"/>
        <v>47.046170886075949</v>
      </c>
      <c r="S664" s="2">
        <f t="shared" si="53"/>
        <v>1.0766228166647496</v>
      </c>
      <c r="T664" s="18" t="str">
        <f t="shared" si="54"/>
        <v>🔴 Low</v>
      </c>
    </row>
    <row r="665" spans="1:20" x14ac:dyDescent="0.3">
      <c r="A665" s="17">
        <v>664</v>
      </c>
      <c r="B665" s="3" t="s">
        <v>100</v>
      </c>
      <c r="C665" s="3" t="s">
        <v>40</v>
      </c>
      <c r="D665" s="3" t="s">
        <v>29</v>
      </c>
      <c r="E665" s="3" t="s">
        <v>30</v>
      </c>
      <c r="F665" s="3" t="s">
        <v>24</v>
      </c>
      <c r="G665" s="3" t="s">
        <v>57</v>
      </c>
      <c r="H665" s="3" t="s">
        <v>68</v>
      </c>
      <c r="I665" s="3" t="s">
        <v>27</v>
      </c>
      <c r="J665" s="6">
        <v>2023</v>
      </c>
      <c r="K665" s="3">
        <v>12061.29</v>
      </c>
      <c r="L665" s="3">
        <v>208019</v>
      </c>
      <c r="M665" s="3">
        <v>2683</v>
      </c>
      <c r="N665" s="3">
        <v>99</v>
      </c>
      <c r="O665" s="3">
        <v>7874.96</v>
      </c>
      <c r="P665" s="9">
        <f t="shared" si="50"/>
        <v>1.2897860291607979</v>
      </c>
      <c r="Q665" s="11">
        <f t="shared" si="51"/>
        <v>2.9351323145732389</v>
      </c>
      <c r="R665" s="13">
        <f t="shared" si="52"/>
        <v>79.545050505050511</v>
      </c>
      <c r="S665" s="4">
        <f t="shared" si="53"/>
        <v>1.5316001605087519</v>
      </c>
      <c r="T665" s="19" t="str">
        <f t="shared" si="54"/>
        <v>🔴 Low</v>
      </c>
    </row>
    <row r="666" spans="1:20" x14ac:dyDescent="0.3">
      <c r="A666" s="16">
        <v>665</v>
      </c>
      <c r="B666" s="1" t="s">
        <v>73</v>
      </c>
      <c r="C666" s="1" t="s">
        <v>21</v>
      </c>
      <c r="D666" s="1" t="s">
        <v>13</v>
      </c>
      <c r="E666" s="1" t="s">
        <v>56</v>
      </c>
      <c r="F666" s="1" t="s">
        <v>47</v>
      </c>
      <c r="G666" s="1" t="s">
        <v>32</v>
      </c>
      <c r="H666" s="1" t="s">
        <v>48</v>
      </c>
      <c r="I666" s="1" t="s">
        <v>34</v>
      </c>
      <c r="J666" s="5">
        <v>2023</v>
      </c>
      <c r="K666" s="1">
        <v>5241.47</v>
      </c>
      <c r="L666" s="1">
        <v>51211</v>
      </c>
      <c r="M666" s="1">
        <v>563</v>
      </c>
      <c r="N666" s="1">
        <v>45</v>
      </c>
      <c r="O666" s="1">
        <v>5257.67</v>
      </c>
      <c r="P666" s="8">
        <f t="shared" si="50"/>
        <v>1.0993731815430279</v>
      </c>
      <c r="Q666" s="10">
        <f t="shared" si="51"/>
        <v>9.3386678507992897</v>
      </c>
      <c r="R666" s="12">
        <f t="shared" si="52"/>
        <v>116.83711111111111</v>
      </c>
      <c r="S666" s="2">
        <f t="shared" si="53"/>
        <v>0.99691878721943372</v>
      </c>
      <c r="T666" s="18" t="str">
        <f t="shared" si="54"/>
        <v>🔴 Low</v>
      </c>
    </row>
    <row r="667" spans="1:20" x14ac:dyDescent="0.3">
      <c r="A667" s="17">
        <v>666</v>
      </c>
      <c r="B667" s="3" t="s">
        <v>77</v>
      </c>
      <c r="C667" s="3" t="s">
        <v>40</v>
      </c>
      <c r="D667" s="3" t="s">
        <v>29</v>
      </c>
      <c r="E667" s="3" t="s">
        <v>61</v>
      </c>
      <c r="F667" s="3" t="s">
        <v>24</v>
      </c>
      <c r="G667" s="3" t="s">
        <v>25</v>
      </c>
      <c r="H667" s="3" t="s">
        <v>48</v>
      </c>
      <c r="I667" s="3" t="s">
        <v>34</v>
      </c>
      <c r="J667" s="6">
        <v>2024</v>
      </c>
      <c r="K667" s="3">
        <v>12264.93</v>
      </c>
      <c r="L667" s="3">
        <v>310202</v>
      </c>
      <c r="M667" s="3">
        <v>5460</v>
      </c>
      <c r="N667" s="3">
        <v>115</v>
      </c>
      <c r="O667" s="3">
        <v>7400.59</v>
      </c>
      <c r="P667" s="9">
        <f t="shared" si="50"/>
        <v>1.7601433904359094</v>
      </c>
      <c r="Q667" s="11">
        <f t="shared" si="51"/>
        <v>1.355419413919414</v>
      </c>
      <c r="R667" s="13">
        <f t="shared" si="52"/>
        <v>64.352956521739131</v>
      </c>
      <c r="S667" s="4">
        <f t="shared" si="53"/>
        <v>1.6572908376224058</v>
      </c>
      <c r="T667" s="19" t="str">
        <f t="shared" si="54"/>
        <v>🟡 Mid</v>
      </c>
    </row>
    <row r="668" spans="1:20" x14ac:dyDescent="0.3">
      <c r="A668" s="16">
        <v>667</v>
      </c>
      <c r="B668" s="1" t="s">
        <v>49</v>
      </c>
      <c r="C668" s="1" t="s">
        <v>21</v>
      </c>
      <c r="D668" s="1" t="s">
        <v>22</v>
      </c>
      <c r="E668" s="1" t="s">
        <v>30</v>
      </c>
      <c r="F668" s="1" t="s">
        <v>31</v>
      </c>
      <c r="G668" s="1" t="s">
        <v>32</v>
      </c>
      <c r="H668" s="1" t="s">
        <v>68</v>
      </c>
      <c r="I668" s="1" t="s">
        <v>27</v>
      </c>
      <c r="J668" s="5">
        <v>2024</v>
      </c>
      <c r="K668" s="1">
        <v>7204.41</v>
      </c>
      <c r="L668" s="1">
        <v>215105</v>
      </c>
      <c r="M668" s="1">
        <v>1048</v>
      </c>
      <c r="N668" s="1">
        <v>6</v>
      </c>
      <c r="O668" s="1">
        <v>4895.6099999999997</v>
      </c>
      <c r="P668" s="8">
        <f t="shared" si="50"/>
        <v>0.48720392366518683</v>
      </c>
      <c r="Q668" s="10">
        <f t="shared" si="51"/>
        <v>4.6713835877862593</v>
      </c>
      <c r="R668" s="12">
        <f t="shared" si="52"/>
        <v>815.93499999999995</v>
      </c>
      <c r="S668" s="2">
        <f t="shared" si="53"/>
        <v>1.4716061941208554</v>
      </c>
      <c r="T668" s="18" t="str">
        <f t="shared" si="54"/>
        <v>🔴 Low</v>
      </c>
    </row>
    <row r="669" spans="1:20" x14ac:dyDescent="0.3">
      <c r="A669" s="17">
        <v>668</v>
      </c>
      <c r="B669" s="3" t="s">
        <v>66</v>
      </c>
      <c r="C669" s="3" t="s">
        <v>40</v>
      </c>
      <c r="D669" s="3" t="s">
        <v>29</v>
      </c>
      <c r="E669" s="3" t="s">
        <v>23</v>
      </c>
      <c r="F669" s="3" t="s">
        <v>31</v>
      </c>
      <c r="G669" s="3" t="s">
        <v>32</v>
      </c>
      <c r="H669" s="3" t="s">
        <v>37</v>
      </c>
      <c r="I669" s="3" t="s">
        <v>38</v>
      </c>
      <c r="J669" s="6">
        <v>2024</v>
      </c>
      <c r="K669" s="3">
        <v>8664.56</v>
      </c>
      <c r="L669" s="3">
        <v>175162</v>
      </c>
      <c r="M669" s="3">
        <v>2348</v>
      </c>
      <c r="N669" s="3">
        <v>30</v>
      </c>
      <c r="O669" s="3">
        <v>8386.98</v>
      </c>
      <c r="P669" s="9">
        <f t="shared" si="50"/>
        <v>1.3404733903472215</v>
      </c>
      <c r="Q669" s="11">
        <f t="shared" si="51"/>
        <v>3.5719676320272571</v>
      </c>
      <c r="R669" s="13">
        <f t="shared" si="52"/>
        <v>279.56599999999997</v>
      </c>
      <c r="S669" s="4">
        <f t="shared" si="53"/>
        <v>1.0330965377287176</v>
      </c>
      <c r="T669" s="19" t="str">
        <f t="shared" si="54"/>
        <v>🔴 Low</v>
      </c>
    </row>
    <row r="670" spans="1:20" x14ac:dyDescent="0.3">
      <c r="A670" s="16">
        <v>669</v>
      </c>
      <c r="B670" s="1" t="s">
        <v>89</v>
      </c>
      <c r="C670" s="1" t="s">
        <v>36</v>
      </c>
      <c r="D670" s="1" t="s">
        <v>46</v>
      </c>
      <c r="E670" s="1" t="s">
        <v>42</v>
      </c>
      <c r="F670" s="1" t="s">
        <v>31</v>
      </c>
      <c r="G670" s="1" t="s">
        <v>25</v>
      </c>
      <c r="H670" s="1" t="s">
        <v>54</v>
      </c>
      <c r="I670" s="1" t="s">
        <v>45</v>
      </c>
      <c r="J670" s="5">
        <v>2023</v>
      </c>
      <c r="K670" s="1">
        <v>9597.4699999999993</v>
      </c>
      <c r="L670" s="1">
        <v>228491</v>
      </c>
      <c r="M670" s="1">
        <v>6526</v>
      </c>
      <c r="N670" s="1">
        <v>634</v>
      </c>
      <c r="O670" s="1">
        <v>7094.8</v>
      </c>
      <c r="P670" s="8">
        <f t="shared" si="50"/>
        <v>2.8561300007440118</v>
      </c>
      <c r="Q670" s="10">
        <f t="shared" si="51"/>
        <v>1.0871590560833588</v>
      </c>
      <c r="R670" s="12">
        <f t="shared" si="52"/>
        <v>11.190536277602524</v>
      </c>
      <c r="S670" s="2">
        <f t="shared" si="53"/>
        <v>1.3527470823701866</v>
      </c>
      <c r="T670" s="18" t="str">
        <f t="shared" si="54"/>
        <v>🟡 Mid</v>
      </c>
    </row>
    <row r="671" spans="1:20" x14ac:dyDescent="0.3">
      <c r="A671" s="17">
        <v>670</v>
      </c>
      <c r="B671" s="3" t="s">
        <v>90</v>
      </c>
      <c r="C671" s="3" t="s">
        <v>21</v>
      </c>
      <c r="D671" s="3" t="s">
        <v>46</v>
      </c>
      <c r="E671" s="3" t="s">
        <v>56</v>
      </c>
      <c r="F671" s="3" t="s">
        <v>24</v>
      </c>
      <c r="G671" s="3" t="s">
        <v>57</v>
      </c>
      <c r="H671" s="3" t="s">
        <v>37</v>
      </c>
      <c r="I671" s="3" t="s">
        <v>38</v>
      </c>
      <c r="J671" s="6">
        <v>2023</v>
      </c>
      <c r="K671" s="3">
        <v>1937.76</v>
      </c>
      <c r="L671" s="3">
        <v>36475</v>
      </c>
      <c r="M671" s="3">
        <v>551</v>
      </c>
      <c r="N671" s="3">
        <v>40</v>
      </c>
      <c r="O671" s="3">
        <v>1278.55</v>
      </c>
      <c r="P671" s="9">
        <f t="shared" si="50"/>
        <v>1.5106237148732007</v>
      </c>
      <c r="Q671" s="11">
        <f t="shared" si="51"/>
        <v>2.3204174228675134</v>
      </c>
      <c r="R671" s="13">
        <f t="shared" si="52"/>
        <v>31.963749999999997</v>
      </c>
      <c r="S671" s="4">
        <f t="shared" si="53"/>
        <v>1.5155918814281804</v>
      </c>
      <c r="T671" s="19" t="str">
        <f t="shared" si="54"/>
        <v>🟡 Mid</v>
      </c>
    </row>
    <row r="672" spans="1:20" x14ac:dyDescent="0.3">
      <c r="A672" s="16">
        <v>671</v>
      </c>
      <c r="B672" s="1" t="s">
        <v>84</v>
      </c>
      <c r="C672" s="1" t="s">
        <v>40</v>
      </c>
      <c r="D672" s="1" t="s">
        <v>29</v>
      </c>
      <c r="E672" s="1" t="s">
        <v>23</v>
      </c>
      <c r="F672" s="1" t="s">
        <v>24</v>
      </c>
      <c r="G672" s="1" t="s">
        <v>57</v>
      </c>
      <c r="H672" s="1" t="s">
        <v>83</v>
      </c>
      <c r="I672" s="1" t="s">
        <v>38</v>
      </c>
      <c r="J672" s="5">
        <v>2023</v>
      </c>
      <c r="K672" s="1">
        <v>6039.97</v>
      </c>
      <c r="L672" s="1">
        <v>234580</v>
      </c>
      <c r="M672" s="1">
        <v>5157</v>
      </c>
      <c r="N672" s="1">
        <v>104</v>
      </c>
      <c r="O672" s="1">
        <v>5030.6400000000003</v>
      </c>
      <c r="P672" s="8">
        <f t="shared" si="50"/>
        <v>2.1983971353056528</v>
      </c>
      <c r="Q672" s="10">
        <f t="shared" si="51"/>
        <v>0.97549738219895299</v>
      </c>
      <c r="R672" s="12">
        <f t="shared" si="52"/>
        <v>48.371538461538464</v>
      </c>
      <c r="S672" s="2">
        <f t="shared" si="53"/>
        <v>1.2006364995308747</v>
      </c>
      <c r="T672" s="18" t="str">
        <f t="shared" si="54"/>
        <v>🟡 Mid</v>
      </c>
    </row>
    <row r="673" spans="1:20" x14ac:dyDescent="0.3">
      <c r="A673" s="17">
        <v>672</v>
      </c>
      <c r="B673" s="3" t="s">
        <v>93</v>
      </c>
      <c r="C673" s="3" t="s">
        <v>36</v>
      </c>
      <c r="D673" s="3" t="s">
        <v>22</v>
      </c>
      <c r="E673" s="3" t="s">
        <v>30</v>
      </c>
      <c r="F673" s="3" t="s">
        <v>47</v>
      </c>
      <c r="G673" s="3" t="s">
        <v>57</v>
      </c>
      <c r="H673" s="3" t="s">
        <v>68</v>
      </c>
      <c r="I673" s="3" t="s">
        <v>27</v>
      </c>
      <c r="J673" s="6">
        <v>2023</v>
      </c>
      <c r="K673" s="3">
        <v>7888.99</v>
      </c>
      <c r="L673" s="3">
        <v>121359</v>
      </c>
      <c r="M673" s="3">
        <v>2760</v>
      </c>
      <c r="N673" s="3">
        <v>27</v>
      </c>
      <c r="O673" s="3">
        <v>5429.99</v>
      </c>
      <c r="P673" s="9">
        <f t="shared" si="50"/>
        <v>2.2742441846092998</v>
      </c>
      <c r="Q673" s="11">
        <f t="shared" si="51"/>
        <v>1.9673876811594202</v>
      </c>
      <c r="R673" s="13">
        <f t="shared" si="52"/>
        <v>201.11074074074074</v>
      </c>
      <c r="S673" s="4">
        <f t="shared" si="53"/>
        <v>1.4528553459582798</v>
      </c>
      <c r="T673" s="19" t="str">
        <f t="shared" si="54"/>
        <v>🟡 Mid</v>
      </c>
    </row>
    <row r="674" spans="1:20" x14ac:dyDescent="0.3">
      <c r="A674" s="16">
        <v>673</v>
      </c>
      <c r="B674" s="1" t="s">
        <v>87</v>
      </c>
      <c r="C674" s="1" t="s">
        <v>40</v>
      </c>
      <c r="D674" s="1" t="s">
        <v>13</v>
      </c>
      <c r="E674" s="1" t="s">
        <v>23</v>
      </c>
      <c r="F674" s="1" t="s">
        <v>31</v>
      </c>
      <c r="G674" s="1" t="s">
        <v>25</v>
      </c>
      <c r="H674" s="1" t="s">
        <v>81</v>
      </c>
      <c r="I674" s="1" t="s">
        <v>34</v>
      </c>
      <c r="J674" s="5">
        <v>2024</v>
      </c>
      <c r="K674" s="1">
        <v>17628.560000000001</v>
      </c>
      <c r="L674" s="1">
        <v>73553</v>
      </c>
      <c r="M674" s="1">
        <v>1736</v>
      </c>
      <c r="N674" s="1">
        <v>102</v>
      </c>
      <c r="O674" s="1">
        <v>11981.24</v>
      </c>
      <c r="P674" s="8">
        <f t="shared" si="50"/>
        <v>2.3602028469267058</v>
      </c>
      <c r="Q674" s="10">
        <f t="shared" si="51"/>
        <v>6.9016359447004607</v>
      </c>
      <c r="R674" s="12">
        <f t="shared" si="52"/>
        <v>117.46313725490195</v>
      </c>
      <c r="S674" s="2">
        <f t="shared" si="53"/>
        <v>1.4713468722769931</v>
      </c>
      <c r="T674" s="18" t="str">
        <f t="shared" si="54"/>
        <v>🟡 Mid</v>
      </c>
    </row>
    <row r="675" spans="1:20" x14ac:dyDescent="0.3">
      <c r="A675" s="17">
        <v>674</v>
      </c>
      <c r="B675" s="3" t="s">
        <v>90</v>
      </c>
      <c r="C675" s="3" t="s">
        <v>21</v>
      </c>
      <c r="D675" s="3" t="s">
        <v>13</v>
      </c>
      <c r="E675" s="3" t="s">
        <v>23</v>
      </c>
      <c r="F675" s="3" t="s">
        <v>31</v>
      </c>
      <c r="G675" s="3" t="s">
        <v>50</v>
      </c>
      <c r="H675" s="3" t="s">
        <v>44</v>
      </c>
      <c r="I675" s="3" t="s">
        <v>45</v>
      </c>
      <c r="J675" s="6">
        <v>2023</v>
      </c>
      <c r="K675" s="3">
        <v>18459.77</v>
      </c>
      <c r="L675" s="3">
        <v>650952</v>
      </c>
      <c r="M675" s="3">
        <v>9122</v>
      </c>
      <c r="N675" s="3">
        <v>831</v>
      </c>
      <c r="O675" s="3">
        <v>17700.39</v>
      </c>
      <c r="P675" s="9">
        <f t="shared" si="50"/>
        <v>1.4013322026816111</v>
      </c>
      <c r="Q675" s="11">
        <f t="shared" si="51"/>
        <v>1.9404067090550317</v>
      </c>
      <c r="R675" s="13">
        <f t="shared" si="52"/>
        <v>21.300108303249097</v>
      </c>
      <c r="S675" s="4">
        <f t="shared" si="53"/>
        <v>1.0429018795631058</v>
      </c>
      <c r="T675" s="19" t="str">
        <f t="shared" si="54"/>
        <v>🔴 Low</v>
      </c>
    </row>
    <row r="676" spans="1:20" x14ac:dyDescent="0.3">
      <c r="A676" s="16">
        <v>675</v>
      </c>
      <c r="B676" s="1" t="s">
        <v>92</v>
      </c>
      <c r="C676" s="1" t="s">
        <v>40</v>
      </c>
      <c r="D676" s="1" t="s">
        <v>13</v>
      </c>
      <c r="E676" s="1" t="s">
        <v>30</v>
      </c>
      <c r="F676" s="1" t="s">
        <v>24</v>
      </c>
      <c r="G676" s="1" t="s">
        <v>43</v>
      </c>
      <c r="H676" s="1" t="s">
        <v>26</v>
      </c>
      <c r="I676" s="1" t="s">
        <v>27</v>
      </c>
      <c r="J676" s="5">
        <v>2024</v>
      </c>
      <c r="K676" s="1">
        <v>4580.13</v>
      </c>
      <c r="L676" s="1">
        <v>90362</v>
      </c>
      <c r="M676" s="1">
        <v>1618</v>
      </c>
      <c r="N676" s="1">
        <v>150</v>
      </c>
      <c r="O676" s="1">
        <v>3070.16</v>
      </c>
      <c r="P676" s="8">
        <f t="shared" si="50"/>
        <v>1.7905756844691354</v>
      </c>
      <c r="Q676" s="10">
        <f t="shared" si="51"/>
        <v>1.8975030902348577</v>
      </c>
      <c r="R676" s="12">
        <f t="shared" si="52"/>
        <v>20.467733333333332</v>
      </c>
      <c r="S676" s="2">
        <f t="shared" si="53"/>
        <v>1.4918212731584022</v>
      </c>
      <c r="T676" s="18" t="str">
        <f t="shared" si="54"/>
        <v>🟡 Mid</v>
      </c>
    </row>
    <row r="677" spans="1:20" x14ac:dyDescent="0.3">
      <c r="A677" s="17">
        <v>676</v>
      </c>
      <c r="B677" s="3" t="s">
        <v>96</v>
      </c>
      <c r="C677" s="3" t="s">
        <v>40</v>
      </c>
      <c r="D677" s="3" t="s">
        <v>41</v>
      </c>
      <c r="E677" s="3" t="s">
        <v>61</v>
      </c>
      <c r="F677" s="3" t="s">
        <v>47</v>
      </c>
      <c r="G677" s="3" t="s">
        <v>25</v>
      </c>
      <c r="H677" s="3" t="s">
        <v>37</v>
      </c>
      <c r="I677" s="3" t="s">
        <v>38</v>
      </c>
      <c r="J677" s="6">
        <v>2024</v>
      </c>
      <c r="K677" s="3">
        <v>10746.78</v>
      </c>
      <c r="L677" s="3">
        <v>511773</v>
      </c>
      <c r="M677" s="3">
        <v>3767</v>
      </c>
      <c r="N677" s="3">
        <v>441</v>
      </c>
      <c r="O677" s="3">
        <v>8681.3799999999992</v>
      </c>
      <c r="P677" s="9">
        <f t="shared" si="50"/>
        <v>0.7360685303835881</v>
      </c>
      <c r="Q677" s="11">
        <f t="shared" si="51"/>
        <v>2.3045872046721527</v>
      </c>
      <c r="R677" s="13">
        <f t="shared" si="52"/>
        <v>19.685668934240361</v>
      </c>
      <c r="S677" s="4">
        <f t="shared" si="53"/>
        <v>1.2379114841188845</v>
      </c>
      <c r="T677" s="19" t="str">
        <f t="shared" si="54"/>
        <v>🔴 Low</v>
      </c>
    </row>
    <row r="678" spans="1:20" x14ac:dyDescent="0.3">
      <c r="A678" s="16">
        <v>677</v>
      </c>
      <c r="B678" s="1" t="s">
        <v>82</v>
      </c>
      <c r="C678" s="1" t="s">
        <v>40</v>
      </c>
      <c r="D678" s="1" t="s">
        <v>29</v>
      </c>
      <c r="E678" s="1" t="s">
        <v>42</v>
      </c>
      <c r="F678" s="1" t="s">
        <v>24</v>
      </c>
      <c r="G678" s="1" t="s">
        <v>25</v>
      </c>
      <c r="H678" s="1" t="s">
        <v>83</v>
      </c>
      <c r="I678" s="1" t="s">
        <v>38</v>
      </c>
      <c r="J678" s="5">
        <v>2024</v>
      </c>
      <c r="K678" s="1">
        <v>17331.78</v>
      </c>
      <c r="L678" s="1">
        <v>420131</v>
      </c>
      <c r="M678" s="1">
        <v>7155</v>
      </c>
      <c r="N678" s="1">
        <v>152</v>
      </c>
      <c r="O678" s="1">
        <v>11543.45</v>
      </c>
      <c r="P678" s="8">
        <f t="shared" si="50"/>
        <v>1.7030402422101676</v>
      </c>
      <c r="Q678" s="10">
        <f t="shared" si="51"/>
        <v>1.6133403214535291</v>
      </c>
      <c r="R678" s="12">
        <f t="shared" si="52"/>
        <v>75.943750000000009</v>
      </c>
      <c r="S678" s="2">
        <f t="shared" si="53"/>
        <v>1.5014384780979688</v>
      </c>
      <c r="T678" s="18" t="str">
        <f t="shared" si="54"/>
        <v>🟡 Mid</v>
      </c>
    </row>
    <row r="679" spans="1:20" x14ac:dyDescent="0.3">
      <c r="A679" s="17">
        <v>678</v>
      </c>
      <c r="B679" s="3" t="s">
        <v>77</v>
      </c>
      <c r="C679" s="3" t="s">
        <v>40</v>
      </c>
      <c r="D679" s="3" t="s">
        <v>29</v>
      </c>
      <c r="E679" s="3" t="s">
        <v>42</v>
      </c>
      <c r="F679" s="3" t="s">
        <v>24</v>
      </c>
      <c r="G679" s="3" t="s">
        <v>57</v>
      </c>
      <c r="H679" s="3" t="s">
        <v>52</v>
      </c>
      <c r="I679" s="3" t="s">
        <v>38</v>
      </c>
      <c r="J679" s="6">
        <v>2024</v>
      </c>
      <c r="K679" s="3">
        <v>10617</v>
      </c>
      <c r="L679" s="3">
        <v>246358</v>
      </c>
      <c r="M679" s="3">
        <v>5212</v>
      </c>
      <c r="N679" s="3">
        <v>143</v>
      </c>
      <c r="O679" s="3">
        <v>8444.83</v>
      </c>
      <c r="P679" s="9">
        <f t="shared" si="50"/>
        <v>2.1156203573661094</v>
      </c>
      <c r="Q679" s="11">
        <f t="shared" si="51"/>
        <v>1.6202666922486568</v>
      </c>
      <c r="R679" s="13">
        <f t="shared" si="52"/>
        <v>59.054755244755242</v>
      </c>
      <c r="S679" s="4">
        <f t="shared" si="53"/>
        <v>1.2572189138206453</v>
      </c>
      <c r="T679" s="19" t="str">
        <f t="shared" si="54"/>
        <v>🟡 Mid</v>
      </c>
    </row>
    <row r="680" spans="1:20" x14ac:dyDescent="0.3">
      <c r="A680" s="16">
        <v>679</v>
      </c>
      <c r="B680" s="1" t="s">
        <v>78</v>
      </c>
      <c r="C680" s="1" t="s">
        <v>21</v>
      </c>
      <c r="D680" s="1" t="s">
        <v>41</v>
      </c>
      <c r="E680" s="1" t="s">
        <v>56</v>
      </c>
      <c r="F680" s="1" t="s">
        <v>47</v>
      </c>
      <c r="G680" s="1" t="s">
        <v>50</v>
      </c>
      <c r="H680" s="1" t="s">
        <v>33</v>
      </c>
      <c r="I680" s="1" t="s">
        <v>34</v>
      </c>
      <c r="J680" s="5">
        <v>2024</v>
      </c>
      <c r="K680" s="1">
        <v>16187.84</v>
      </c>
      <c r="L680" s="1">
        <v>337420</v>
      </c>
      <c r="M680" s="1">
        <v>2307</v>
      </c>
      <c r="N680" s="1">
        <v>219</v>
      </c>
      <c r="O680" s="1">
        <v>11518.66</v>
      </c>
      <c r="P680" s="8">
        <f t="shared" si="50"/>
        <v>0.68371762195483377</v>
      </c>
      <c r="Q680" s="10">
        <f t="shared" si="51"/>
        <v>4.9929172084958822</v>
      </c>
      <c r="R680" s="12">
        <f t="shared" si="52"/>
        <v>52.596621004566209</v>
      </c>
      <c r="S680" s="2">
        <f t="shared" si="53"/>
        <v>1.4053579148963509</v>
      </c>
      <c r="T680" s="18" t="str">
        <f t="shared" si="54"/>
        <v>🔴 Low</v>
      </c>
    </row>
    <row r="681" spans="1:20" x14ac:dyDescent="0.3">
      <c r="A681" s="17">
        <v>680</v>
      </c>
      <c r="B681" s="3" t="s">
        <v>99</v>
      </c>
      <c r="C681" s="3" t="s">
        <v>36</v>
      </c>
      <c r="D681" s="3" t="s">
        <v>22</v>
      </c>
      <c r="E681" s="3" t="s">
        <v>23</v>
      </c>
      <c r="F681" s="3" t="s">
        <v>31</v>
      </c>
      <c r="G681" s="3" t="s">
        <v>32</v>
      </c>
      <c r="H681" s="3" t="s">
        <v>81</v>
      </c>
      <c r="I681" s="3" t="s">
        <v>34</v>
      </c>
      <c r="J681" s="6">
        <v>2023</v>
      </c>
      <c r="K681" s="3">
        <v>15824.53</v>
      </c>
      <c r="L681" s="3">
        <v>243804</v>
      </c>
      <c r="M681" s="3">
        <v>7096</v>
      </c>
      <c r="N681" s="3">
        <v>45</v>
      </c>
      <c r="O681" s="3">
        <v>9968.92</v>
      </c>
      <c r="P681" s="9">
        <f t="shared" si="50"/>
        <v>2.9105346918016113</v>
      </c>
      <c r="Q681" s="11">
        <f t="shared" si="51"/>
        <v>1.4048647125140925</v>
      </c>
      <c r="R681" s="13">
        <f t="shared" si="52"/>
        <v>221.53155555555557</v>
      </c>
      <c r="S681" s="4">
        <f t="shared" si="53"/>
        <v>1.5873865975451704</v>
      </c>
      <c r="T681" s="19" t="str">
        <f t="shared" si="54"/>
        <v>🟡 Mid</v>
      </c>
    </row>
    <row r="682" spans="1:20" x14ac:dyDescent="0.3">
      <c r="A682" s="16">
        <v>681</v>
      </c>
      <c r="B682" s="1" t="s">
        <v>97</v>
      </c>
      <c r="C682" s="1" t="s">
        <v>36</v>
      </c>
      <c r="D682" s="1" t="s">
        <v>13</v>
      </c>
      <c r="E682" s="1" t="s">
        <v>30</v>
      </c>
      <c r="F682" s="1" t="s">
        <v>31</v>
      </c>
      <c r="G682" s="1" t="s">
        <v>43</v>
      </c>
      <c r="H682" s="1" t="s">
        <v>52</v>
      </c>
      <c r="I682" s="1" t="s">
        <v>38</v>
      </c>
      <c r="J682" s="5">
        <v>2024</v>
      </c>
      <c r="K682" s="1">
        <v>15031.62</v>
      </c>
      <c r="L682" s="1">
        <v>721742</v>
      </c>
      <c r="M682" s="1">
        <v>21533</v>
      </c>
      <c r="N682" s="1">
        <v>1987</v>
      </c>
      <c r="O682" s="1">
        <v>9889.35</v>
      </c>
      <c r="P682" s="8">
        <f t="shared" si="50"/>
        <v>2.9834760897938595</v>
      </c>
      <c r="Q682" s="10">
        <f t="shared" si="51"/>
        <v>0.45926484930107281</v>
      </c>
      <c r="R682" s="12">
        <f t="shared" si="52"/>
        <v>4.9770256668344244</v>
      </c>
      <c r="S682" s="2">
        <f t="shared" si="53"/>
        <v>1.519980585174961</v>
      </c>
      <c r="T682" s="18" t="str">
        <f t="shared" si="54"/>
        <v>🟡 Mid</v>
      </c>
    </row>
    <row r="683" spans="1:20" x14ac:dyDescent="0.3">
      <c r="A683" s="17">
        <v>682</v>
      </c>
      <c r="B683" s="3" t="s">
        <v>59</v>
      </c>
      <c r="C683" s="3" t="s">
        <v>21</v>
      </c>
      <c r="D683" s="3" t="s">
        <v>22</v>
      </c>
      <c r="E683" s="3" t="s">
        <v>23</v>
      </c>
      <c r="F683" s="3" t="s">
        <v>47</v>
      </c>
      <c r="G683" s="3" t="s">
        <v>43</v>
      </c>
      <c r="H683" s="3" t="s">
        <v>33</v>
      </c>
      <c r="I683" s="3" t="s">
        <v>34</v>
      </c>
      <c r="J683" s="6">
        <v>2024</v>
      </c>
      <c r="K683" s="3">
        <v>16526.3</v>
      </c>
      <c r="L683" s="3">
        <v>799617</v>
      </c>
      <c r="M683" s="3">
        <v>3450</v>
      </c>
      <c r="N683" s="3">
        <v>51</v>
      </c>
      <c r="O683" s="3">
        <v>13191.98</v>
      </c>
      <c r="P683" s="9">
        <f t="shared" si="50"/>
        <v>0.43145655982801767</v>
      </c>
      <c r="Q683" s="11">
        <f t="shared" si="51"/>
        <v>3.8237623188405796</v>
      </c>
      <c r="R683" s="13">
        <f t="shared" si="52"/>
        <v>258.66627450980394</v>
      </c>
      <c r="S683" s="4">
        <f t="shared" si="53"/>
        <v>1.2527535669399135</v>
      </c>
      <c r="T683" s="19" t="str">
        <f t="shared" si="54"/>
        <v>🔴 Low</v>
      </c>
    </row>
    <row r="684" spans="1:20" x14ac:dyDescent="0.3">
      <c r="A684" s="16">
        <v>683</v>
      </c>
      <c r="B684" s="1" t="s">
        <v>69</v>
      </c>
      <c r="C684" s="1" t="s">
        <v>21</v>
      </c>
      <c r="D684" s="1" t="s">
        <v>41</v>
      </c>
      <c r="E684" s="1" t="s">
        <v>30</v>
      </c>
      <c r="F684" s="1" t="s">
        <v>24</v>
      </c>
      <c r="G684" s="1" t="s">
        <v>25</v>
      </c>
      <c r="H684" s="1" t="s">
        <v>48</v>
      </c>
      <c r="I684" s="1" t="s">
        <v>34</v>
      </c>
      <c r="J684" s="5">
        <v>2023</v>
      </c>
      <c r="K684" s="1">
        <v>10558.59</v>
      </c>
      <c r="L684" s="1">
        <v>584459</v>
      </c>
      <c r="M684" s="1">
        <v>4315</v>
      </c>
      <c r="N684" s="1">
        <v>418</v>
      </c>
      <c r="O684" s="1">
        <v>9846.99</v>
      </c>
      <c r="P684" s="8">
        <f t="shared" si="50"/>
        <v>0.73828959773055081</v>
      </c>
      <c r="Q684" s="10">
        <f t="shared" si="51"/>
        <v>2.2820370799536498</v>
      </c>
      <c r="R684" s="12">
        <f t="shared" si="52"/>
        <v>23.557392344497607</v>
      </c>
      <c r="S684" s="2">
        <f t="shared" si="53"/>
        <v>1.0722657380580258</v>
      </c>
      <c r="T684" s="18" t="str">
        <f t="shared" si="54"/>
        <v>🔴 Low</v>
      </c>
    </row>
    <row r="685" spans="1:20" x14ac:dyDescent="0.3">
      <c r="A685" s="17">
        <v>684</v>
      </c>
      <c r="B685" s="3" t="s">
        <v>84</v>
      </c>
      <c r="C685" s="3" t="s">
        <v>40</v>
      </c>
      <c r="D685" s="3" t="s">
        <v>41</v>
      </c>
      <c r="E685" s="3" t="s">
        <v>56</v>
      </c>
      <c r="F685" s="3" t="s">
        <v>24</v>
      </c>
      <c r="G685" s="3" t="s">
        <v>50</v>
      </c>
      <c r="H685" s="3" t="s">
        <v>48</v>
      </c>
      <c r="I685" s="3" t="s">
        <v>34</v>
      </c>
      <c r="J685" s="6">
        <v>2023</v>
      </c>
      <c r="K685" s="3">
        <v>7806.65</v>
      </c>
      <c r="L685" s="3">
        <v>610561</v>
      </c>
      <c r="M685" s="3">
        <v>4886</v>
      </c>
      <c r="N685" s="3">
        <v>634</v>
      </c>
      <c r="O685" s="3">
        <v>5685.9</v>
      </c>
      <c r="P685" s="9">
        <f t="shared" si="50"/>
        <v>0.80024764110383728</v>
      </c>
      <c r="Q685" s="11">
        <f t="shared" si="51"/>
        <v>1.1637126483831355</v>
      </c>
      <c r="R685" s="13">
        <f t="shared" si="52"/>
        <v>8.9682965299684536</v>
      </c>
      <c r="S685" s="4">
        <f t="shared" si="53"/>
        <v>1.3729840482597302</v>
      </c>
      <c r="T685" s="19" t="str">
        <f t="shared" si="54"/>
        <v>🔴 Low</v>
      </c>
    </row>
    <row r="686" spans="1:20" x14ac:dyDescent="0.3">
      <c r="A686" s="16">
        <v>685</v>
      </c>
      <c r="B686" s="1" t="s">
        <v>62</v>
      </c>
      <c r="C686" s="1" t="s">
        <v>21</v>
      </c>
      <c r="D686" s="1" t="s">
        <v>41</v>
      </c>
      <c r="E686" s="1" t="s">
        <v>23</v>
      </c>
      <c r="F686" s="1" t="s">
        <v>47</v>
      </c>
      <c r="G686" s="1" t="s">
        <v>25</v>
      </c>
      <c r="H686" s="1" t="s">
        <v>33</v>
      </c>
      <c r="I686" s="1" t="s">
        <v>34</v>
      </c>
      <c r="J686" s="5">
        <v>2024</v>
      </c>
      <c r="K686" s="1">
        <v>13872.37</v>
      </c>
      <c r="L686" s="1">
        <v>427962</v>
      </c>
      <c r="M686" s="1">
        <v>3259</v>
      </c>
      <c r="N686" s="1">
        <v>273</v>
      </c>
      <c r="O686" s="1">
        <v>11743.25</v>
      </c>
      <c r="P686" s="8">
        <f t="shared" si="50"/>
        <v>0.76151620938307607</v>
      </c>
      <c r="Q686" s="10">
        <f t="shared" si="51"/>
        <v>3.6033292420988032</v>
      </c>
      <c r="R686" s="12">
        <f t="shared" si="52"/>
        <v>43.015567765567766</v>
      </c>
      <c r="S686" s="2">
        <f t="shared" si="53"/>
        <v>1.1813058565558938</v>
      </c>
      <c r="T686" s="18" t="str">
        <f t="shared" si="54"/>
        <v>🔴 Low</v>
      </c>
    </row>
    <row r="687" spans="1:20" x14ac:dyDescent="0.3">
      <c r="A687" s="17">
        <v>686</v>
      </c>
      <c r="B687" s="3" t="s">
        <v>62</v>
      </c>
      <c r="C687" s="3" t="s">
        <v>21</v>
      </c>
      <c r="D687" s="3" t="s">
        <v>46</v>
      </c>
      <c r="E687" s="3" t="s">
        <v>30</v>
      </c>
      <c r="F687" s="3" t="s">
        <v>47</v>
      </c>
      <c r="G687" s="3" t="s">
        <v>32</v>
      </c>
      <c r="H687" s="3" t="s">
        <v>44</v>
      </c>
      <c r="I687" s="3" t="s">
        <v>45</v>
      </c>
      <c r="J687" s="6">
        <v>2024</v>
      </c>
      <c r="K687" s="3">
        <v>19613.36</v>
      </c>
      <c r="L687" s="3">
        <v>219124</v>
      </c>
      <c r="M687" s="3">
        <v>109</v>
      </c>
      <c r="N687" s="3">
        <v>10</v>
      </c>
      <c r="O687" s="3">
        <v>12292.83</v>
      </c>
      <c r="P687" s="9">
        <f t="shared" si="50"/>
        <v>4.9743524214599946E-2</v>
      </c>
      <c r="Q687" s="11">
        <f t="shared" si="51"/>
        <v>112.77825688073395</v>
      </c>
      <c r="R687" s="13">
        <f t="shared" si="52"/>
        <v>1229.2829999999999</v>
      </c>
      <c r="S687" s="4">
        <f t="shared" si="53"/>
        <v>1.5955121806776797</v>
      </c>
      <c r="T687" s="19" t="str">
        <f t="shared" si="54"/>
        <v>🔴 Low</v>
      </c>
    </row>
    <row r="688" spans="1:20" x14ac:dyDescent="0.3">
      <c r="A688" s="16">
        <v>687</v>
      </c>
      <c r="B688" s="1" t="s">
        <v>87</v>
      </c>
      <c r="C688" s="1" t="s">
        <v>40</v>
      </c>
      <c r="D688" s="1" t="s">
        <v>41</v>
      </c>
      <c r="E688" s="1" t="s">
        <v>42</v>
      </c>
      <c r="F688" s="1" t="s">
        <v>47</v>
      </c>
      <c r="G688" s="1" t="s">
        <v>32</v>
      </c>
      <c r="H688" s="1" t="s">
        <v>48</v>
      </c>
      <c r="I688" s="1" t="s">
        <v>34</v>
      </c>
      <c r="J688" s="5">
        <v>2024</v>
      </c>
      <c r="K688" s="1">
        <v>2318.21</v>
      </c>
      <c r="L688" s="1">
        <v>114380</v>
      </c>
      <c r="M688" s="1">
        <v>1667</v>
      </c>
      <c r="N688" s="1">
        <v>210</v>
      </c>
      <c r="O688" s="1">
        <v>1978.39</v>
      </c>
      <c r="P688" s="8">
        <f t="shared" si="50"/>
        <v>1.457422626333275</v>
      </c>
      <c r="Q688" s="10">
        <f t="shared" si="51"/>
        <v>1.1867966406718657</v>
      </c>
      <c r="R688" s="12">
        <f t="shared" si="52"/>
        <v>9.4209047619047617</v>
      </c>
      <c r="S688" s="2">
        <f t="shared" si="53"/>
        <v>1.1717659308831929</v>
      </c>
      <c r="T688" s="18" t="str">
        <f t="shared" si="54"/>
        <v>🔴 Low</v>
      </c>
    </row>
    <row r="689" spans="1:20" x14ac:dyDescent="0.3">
      <c r="A689" s="17">
        <v>688</v>
      </c>
      <c r="B689" s="3" t="s">
        <v>55</v>
      </c>
      <c r="C689" s="3" t="s">
        <v>36</v>
      </c>
      <c r="D689" s="3" t="s">
        <v>46</v>
      </c>
      <c r="E689" s="3" t="s">
        <v>42</v>
      </c>
      <c r="F689" s="3" t="s">
        <v>47</v>
      </c>
      <c r="G689" s="3" t="s">
        <v>43</v>
      </c>
      <c r="H689" s="3" t="s">
        <v>83</v>
      </c>
      <c r="I689" s="3" t="s">
        <v>38</v>
      </c>
      <c r="J689" s="6">
        <v>2023</v>
      </c>
      <c r="K689" s="3">
        <v>6176.56</v>
      </c>
      <c r="L689" s="3">
        <v>554868</v>
      </c>
      <c r="M689" s="3">
        <v>13990</v>
      </c>
      <c r="N689" s="3">
        <v>618</v>
      </c>
      <c r="O689" s="3">
        <v>3854.98</v>
      </c>
      <c r="P689" s="9">
        <f t="shared" si="50"/>
        <v>2.5213203861098497</v>
      </c>
      <c r="Q689" s="11">
        <f t="shared" si="51"/>
        <v>0.27555253752680486</v>
      </c>
      <c r="R689" s="13">
        <f t="shared" si="52"/>
        <v>6.2378317152103557</v>
      </c>
      <c r="S689" s="4">
        <f t="shared" si="53"/>
        <v>1.6022288053375116</v>
      </c>
      <c r="T689" s="19" t="str">
        <f t="shared" si="54"/>
        <v>🟡 Mid</v>
      </c>
    </row>
    <row r="690" spans="1:20" x14ac:dyDescent="0.3">
      <c r="A690" s="16">
        <v>689</v>
      </c>
      <c r="B690" s="1" t="s">
        <v>28</v>
      </c>
      <c r="C690" s="1" t="s">
        <v>21</v>
      </c>
      <c r="D690" s="1" t="s">
        <v>46</v>
      </c>
      <c r="E690" s="1" t="s">
        <v>23</v>
      </c>
      <c r="F690" s="1" t="s">
        <v>47</v>
      </c>
      <c r="G690" s="1" t="s">
        <v>50</v>
      </c>
      <c r="H690" s="1" t="s">
        <v>26</v>
      </c>
      <c r="I690" s="1" t="s">
        <v>27</v>
      </c>
      <c r="J690" s="5">
        <v>2023</v>
      </c>
      <c r="K690" s="1">
        <v>3018.18</v>
      </c>
      <c r="L690" s="1">
        <v>443738</v>
      </c>
      <c r="M690" s="1">
        <v>2276</v>
      </c>
      <c r="N690" s="1">
        <v>221</v>
      </c>
      <c r="O690" s="1">
        <v>2908.3</v>
      </c>
      <c r="P690" s="8">
        <f t="shared" si="50"/>
        <v>0.51291527883570942</v>
      </c>
      <c r="Q690" s="10">
        <f t="shared" si="51"/>
        <v>1.2778119507908612</v>
      </c>
      <c r="R690" s="12">
        <f t="shared" si="52"/>
        <v>13.159728506787332</v>
      </c>
      <c r="S690" s="2">
        <f t="shared" si="53"/>
        <v>1.0377815218512532</v>
      </c>
      <c r="T690" s="18" t="str">
        <f t="shared" si="54"/>
        <v>🔴 Low</v>
      </c>
    </row>
    <row r="691" spans="1:20" x14ac:dyDescent="0.3">
      <c r="A691" s="17">
        <v>690</v>
      </c>
      <c r="B691" s="3" t="s">
        <v>97</v>
      </c>
      <c r="C691" s="3" t="s">
        <v>36</v>
      </c>
      <c r="D691" s="3" t="s">
        <v>13</v>
      </c>
      <c r="E691" s="3" t="s">
        <v>56</v>
      </c>
      <c r="F691" s="3" t="s">
        <v>31</v>
      </c>
      <c r="G691" s="3" t="s">
        <v>50</v>
      </c>
      <c r="H691" s="3" t="s">
        <v>26</v>
      </c>
      <c r="I691" s="3" t="s">
        <v>27</v>
      </c>
      <c r="J691" s="6">
        <v>2024</v>
      </c>
      <c r="K691" s="3">
        <v>11956.09</v>
      </c>
      <c r="L691" s="3">
        <v>531883</v>
      </c>
      <c r="M691" s="3">
        <v>15029</v>
      </c>
      <c r="N691" s="3">
        <v>1505</v>
      </c>
      <c r="O691" s="3">
        <v>9478.33</v>
      </c>
      <c r="P691" s="9">
        <f t="shared" si="50"/>
        <v>2.8256214242605986</v>
      </c>
      <c r="Q691" s="11">
        <f t="shared" si="51"/>
        <v>0.63066937254641031</v>
      </c>
      <c r="R691" s="13">
        <f t="shared" si="52"/>
        <v>6.2978936877076412</v>
      </c>
      <c r="S691" s="4">
        <f t="shared" si="53"/>
        <v>1.2614131392344432</v>
      </c>
      <c r="T691" s="19" t="str">
        <f t="shared" si="54"/>
        <v>🟡 Mid</v>
      </c>
    </row>
    <row r="692" spans="1:20" x14ac:dyDescent="0.3">
      <c r="A692" s="16">
        <v>691</v>
      </c>
      <c r="B692" s="1" t="s">
        <v>98</v>
      </c>
      <c r="C692" s="1" t="s">
        <v>36</v>
      </c>
      <c r="D692" s="1" t="s">
        <v>46</v>
      </c>
      <c r="E692" s="1" t="s">
        <v>56</v>
      </c>
      <c r="F692" s="1" t="s">
        <v>24</v>
      </c>
      <c r="G692" s="1" t="s">
        <v>50</v>
      </c>
      <c r="H692" s="1" t="s">
        <v>79</v>
      </c>
      <c r="I692" s="1" t="s">
        <v>45</v>
      </c>
      <c r="J692" s="5">
        <v>2023</v>
      </c>
      <c r="K692" s="1">
        <v>10754.2</v>
      </c>
      <c r="L692" s="1">
        <v>601879</v>
      </c>
      <c r="M692" s="1">
        <v>19277</v>
      </c>
      <c r="N692" s="1">
        <v>1437</v>
      </c>
      <c r="O692" s="1">
        <v>9782.69</v>
      </c>
      <c r="P692" s="8">
        <f t="shared" si="50"/>
        <v>3.2028032212454662</v>
      </c>
      <c r="Q692" s="10">
        <f t="shared" si="51"/>
        <v>0.50747989832442808</v>
      </c>
      <c r="R692" s="12">
        <f t="shared" si="52"/>
        <v>6.8077174669450251</v>
      </c>
      <c r="S692" s="2">
        <f t="shared" si="53"/>
        <v>1.0993090857422652</v>
      </c>
      <c r="T692" s="18" t="str">
        <f t="shared" si="54"/>
        <v>🟢 High</v>
      </c>
    </row>
    <row r="693" spans="1:20" x14ac:dyDescent="0.3">
      <c r="A693" s="17">
        <v>692</v>
      </c>
      <c r="B693" s="3" t="s">
        <v>66</v>
      </c>
      <c r="C693" s="3" t="s">
        <v>40</v>
      </c>
      <c r="D693" s="3" t="s">
        <v>13</v>
      </c>
      <c r="E693" s="3" t="s">
        <v>23</v>
      </c>
      <c r="F693" s="3" t="s">
        <v>47</v>
      </c>
      <c r="G693" s="3" t="s">
        <v>32</v>
      </c>
      <c r="H693" s="3" t="s">
        <v>26</v>
      </c>
      <c r="I693" s="3" t="s">
        <v>27</v>
      </c>
      <c r="J693" s="6">
        <v>2024</v>
      </c>
      <c r="K693" s="3">
        <v>5358.13</v>
      </c>
      <c r="L693" s="3">
        <v>652743</v>
      </c>
      <c r="M693" s="3">
        <v>7950</v>
      </c>
      <c r="N693" s="3">
        <v>805</v>
      </c>
      <c r="O693" s="3">
        <v>4245.18</v>
      </c>
      <c r="P693" s="9">
        <f t="shared" si="50"/>
        <v>1.2179372279748693</v>
      </c>
      <c r="Q693" s="11">
        <f t="shared" si="51"/>
        <v>0.53398490566037737</v>
      </c>
      <c r="R693" s="13">
        <f t="shared" si="52"/>
        <v>5.2735155279503108</v>
      </c>
      <c r="S693" s="4">
        <f t="shared" si="53"/>
        <v>1.2621679174970202</v>
      </c>
      <c r="T693" s="19" t="str">
        <f t="shared" si="54"/>
        <v>🔴 Low</v>
      </c>
    </row>
    <row r="694" spans="1:20" x14ac:dyDescent="0.3">
      <c r="A694" s="16">
        <v>693</v>
      </c>
      <c r="B694" s="1" t="s">
        <v>69</v>
      </c>
      <c r="C694" s="1" t="s">
        <v>21</v>
      </c>
      <c r="D694" s="1" t="s">
        <v>29</v>
      </c>
      <c r="E694" s="1" t="s">
        <v>42</v>
      </c>
      <c r="F694" s="1" t="s">
        <v>47</v>
      </c>
      <c r="G694" s="1" t="s">
        <v>57</v>
      </c>
      <c r="H694" s="1" t="s">
        <v>83</v>
      </c>
      <c r="I694" s="1" t="s">
        <v>38</v>
      </c>
      <c r="J694" s="5">
        <v>2023</v>
      </c>
      <c r="K694" s="1">
        <v>5838.64</v>
      </c>
      <c r="L694" s="1">
        <v>663592</v>
      </c>
      <c r="M694" s="1">
        <v>331</v>
      </c>
      <c r="N694" s="1">
        <v>3</v>
      </c>
      <c r="O694" s="1">
        <v>5284.82</v>
      </c>
      <c r="P694" s="8">
        <f t="shared" si="50"/>
        <v>4.9880046775729665E-2</v>
      </c>
      <c r="Q694" s="10">
        <f t="shared" si="51"/>
        <v>15.966223564954682</v>
      </c>
      <c r="R694" s="12">
        <f t="shared" si="52"/>
        <v>1761.6066666666666</v>
      </c>
      <c r="S694" s="2">
        <f t="shared" si="53"/>
        <v>1.1047944868510187</v>
      </c>
      <c r="T694" s="18" t="str">
        <f t="shared" si="54"/>
        <v>🔴 Low</v>
      </c>
    </row>
    <row r="695" spans="1:20" x14ac:dyDescent="0.3">
      <c r="A695" s="17">
        <v>694</v>
      </c>
      <c r="B695" s="3" t="s">
        <v>89</v>
      </c>
      <c r="C695" s="3" t="s">
        <v>36</v>
      </c>
      <c r="D695" s="3" t="s">
        <v>41</v>
      </c>
      <c r="E695" s="3" t="s">
        <v>61</v>
      </c>
      <c r="F695" s="3" t="s">
        <v>24</v>
      </c>
      <c r="G695" s="3" t="s">
        <v>43</v>
      </c>
      <c r="H695" s="3" t="s">
        <v>58</v>
      </c>
      <c r="I695" s="3" t="s">
        <v>27</v>
      </c>
      <c r="J695" s="6">
        <v>2023</v>
      </c>
      <c r="K695" s="3">
        <v>10335.700000000001</v>
      </c>
      <c r="L695" s="3">
        <v>346849</v>
      </c>
      <c r="M695" s="3">
        <v>9107</v>
      </c>
      <c r="N695" s="3">
        <v>845</v>
      </c>
      <c r="O695" s="3">
        <v>6916.99</v>
      </c>
      <c r="P695" s="9">
        <f t="shared" si="50"/>
        <v>2.6256382460379011</v>
      </c>
      <c r="Q695" s="11">
        <f t="shared" si="51"/>
        <v>0.75952454156143623</v>
      </c>
      <c r="R695" s="13">
        <f t="shared" si="52"/>
        <v>8.185786982248521</v>
      </c>
      <c r="S695" s="4">
        <f t="shared" si="53"/>
        <v>1.4942482206855874</v>
      </c>
      <c r="T695" s="19" t="str">
        <f t="shared" si="54"/>
        <v>🟡 Mid</v>
      </c>
    </row>
    <row r="696" spans="1:20" x14ac:dyDescent="0.3">
      <c r="A696" s="16">
        <v>695</v>
      </c>
      <c r="B696" s="1" t="s">
        <v>91</v>
      </c>
      <c r="C696" s="1" t="s">
        <v>36</v>
      </c>
      <c r="D696" s="1" t="s">
        <v>41</v>
      </c>
      <c r="E696" s="1" t="s">
        <v>42</v>
      </c>
      <c r="F696" s="1" t="s">
        <v>24</v>
      </c>
      <c r="G696" s="1" t="s">
        <v>50</v>
      </c>
      <c r="H696" s="1" t="s">
        <v>33</v>
      </c>
      <c r="I696" s="1" t="s">
        <v>34</v>
      </c>
      <c r="J696" s="5">
        <v>2024</v>
      </c>
      <c r="K696" s="1">
        <v>15046.17</v>
      </c>
      <c r="L696" s="1">
        <v>208846</v>
      </c>
      <c r="M696" s="1">
        <v>5725</v>
      </c>
      <c r="N696" s="1">
        <v>396</v>
      </c>
      <c r="O696" s="1">
        <v>14823.45</v>
      </c>
      <c r="P696" s="8">
        <f t="shared" si="50"/>
        <v>2.7412543213659828</v>
      </c>
      <c r="Q696" s="10">
        <f t="shared" si="51"/>
        <v>2.5892489082969434</v>
      </c>
      <c r="R696" s="12">
        <f t="shared" si="52"/>
        <v>37.43295454545455</v>
      </c>
      <c r="S696" s="2">
        <f t="shared" si="53"/>
        <v>1.015024842394989</v>
      </c>
      <c r="T696" s="18" t="str">
        <f t="shared" si="54"/>
        <v>🟡 Mid</v>
      </c>
    </row>
    <row r="697" spans="1:20" x14ac:dyDescent="0.3">
      <c r="A697" s="17">
        <v>696</v>
      </c>
      <c r="B697" s="3" t="s">
        <v>67</v>
      </c>
      <c r="C697" s="3" t="s">
        <v>40</v>
      </c>
      <c r="D697" s="3" t="s">
        <v>41</v>
      </c>
      <c r="E697" s="3" t="s">
        <v>56</v>
      </c>
      <c r="F697" s="3" t="s">
        <v>24</v>
      </c>
      <c r="G697" s="3" t="s">
        <v>57</v>
      </c>
      <c r="H697" s="3" t="s">
        <v>81</v>
      </c>
      <c r="I697" s="3" t="s">
        <v>34</v>
      </c>
      <c r="J697" s="6">
        <v>2023</v>
      </c>
      <c r="K697" s="3">
        <v>14414.84</v>
      </c>
      <c r="L697" s="3">
        <v>463986</v>
      </c>
      <c r="M697" s="3">
        <v>7629</v>
      </c>
      <c r="N697" s="3">
        <v>543</v>
      </c>
      <c r="O697" s="3">
        <v>13615.96</v>
      </c>
      <c r="P697" s="9">
        <f t="shared" si="50"/>
        <v>1.6442306448901476</v>
      </c>
      <c r="Q697" s="11">
        <f t="shared" si="51"/>
        <v>1.7847634028050858</v>
      </c>
      <c r="R697" s="13">
        <f t="shared" si="52"/>
        <v>25.075432780847144</v>
      </c>
      <c r="S697" s="4">
        <f t="shared" si="53"/>
        <v>1.0586723227741563</v>
      </c>
      <c r="T697" s="19" t="str">
        <f t="shared" si="54"/>
        <v>🟡 Mid</v>
      </c>
    </row>
    <row r="698" spans="1:20" x14ac:dyDescent="0.3">
      <c r="A698" s="16">
        <v>697</v>
      </c>
      <c r="B698" s="1" t="s">
        <v>55</v>
      </c>
      <c r="C698" s="1" t="s">
        <v>36</v>
      </c>
      <c r="D698" s="1" t="s">
        <v>22</v>
      </c>
      <c r="E698" s="1" t="s">
        <v>61</v>
      </c>
      <c r="F698" s="1" t="s">
        <v>24</v>
      </c>
      <c r="G698" s="1" t="s">
        <v>25</v>
      </c>
      <c r="H698" s="1" t="s">
        <v>52</v>
      </c>
      <c r="I698" s="1" t="s">
        <v>38</v>
      </c>
      <c r="J698" s="5">
        <v>2023</v>
      </c>
      <c r="K698" s="1">
        <v>10925.75</v>
      </c>
      <c r="L698" s="1">
        <v>414835</v>
      </c>
      <c r="M698" s="1">
        <v>13132</v>
      </c>
      <c r="N698" s="1">
        <v>67</v>
      </c>
      <c r="O698" s="1">
        <v>7809.35</v>
      </c>
      <c r="P698" s="8">
        <f t="shared" si="50"/>
        <v>3.1655959598394539</v>
      </c>
      <c r="Q698" s="10">
        <f t="shared" si="51"/>
        <v>0.59468093207432227</v>
      </c>
      <c r="R698" s="12">
        <f t="shared" si="52"/>
        <v>116.55746268656716</v>
      </c>
      <c r="S698" s="2">
        <f t="shared" si="53"/>
        <v>1.3990601010327364</v>
      </c>
      <c r="T698" s="18" t="str">
        <f t="shared" si="54"/>
        <v>🟢 High</v>
      </c>
    </row>
    <row r="699" spans="1:20" x14ac:dyDescent="0.3">
      <c r="A699" s="17">
        <v>698</v>
      </c>
      <c r="B699" s="3" t="s">
        <v>100</v>
      </c>
      <c r="C699" s="3" t="s">
        <v>40</v>
      </c>
      <c r="D699" s="3" t="s">
        <v>46</v>
      </c>
      <c r="E699" s="3" t="s">
        <v>30</v>
      </c>
      <c r="F699" s="3" t="s">
        <v>31</v>
      </c>
      <c r="G699" s="3" t="s">
        <v>57</v>
      </c>
      <c r="H699" s="3" t="s">
        <v>44</v>
      </c>
      <c r="I699" s="3" t="s">
        <v>45</v>
      </c>
      <c r="J699" s="6">
        <v>2023</v>
      </c>
      <c r="K699" s="3">
        <v>9120.1299999999992</v>
      </c>
      <c r="L699" s="3">
        <v>55075</v>
      </c>
      <c r="M699" s="3">
        <v>1239</v>
      </c>
      <c r="N699" s="3">
        <v>111</v>
      </c>
      <c r="O699" s="3">
        <v>8580.5400000000009</v>
      </c>
      <c r="P699" s="9">
        <f t="shared" si="50"/>
        <v>2.2496595551520655</v>
      </c>
      <c r="Q699" s="11">
        <f t="shared" si="51"/>
        <v>6.925375302663439</v>
      </c>
      <c r="R699" s="13">
        <f t="shared" si="52"/>
        <v>77.302162162162176</v>
      </c>
      <c r="S699" s="4">
        <f t="shared" si="53"/>
        <v>1.0628853195719614</v>
      </c>
      <c r="T699" s="19" t="str">
        <f t="shared" si="54"/>
        <v>🟡 Mid</v>
      </c>
    </row>
    <row r="700" spans="1:20" x14ac:dyDescent="0.3">
      <c r="A700" s="16">
        <v>699</v>
      </c>
      <c r="B700" s="1" t="s">
        <v>20</v>
      </c>
      <c r="C700" s="1" t="s">
        <v>21</v>
      </c>
      <c r="D700" s="1" t="s">
        <v>41</v>
      </c>
      <c r="E700" s="1" t="s">
        <v>23</v>
      </c>
      <c r="F700" s="1" t="s">
        <v>47</v>
      </c>
      <c r="G700" s="1" t="s">
        <v>57</v>
      </c>
      <c r="H700" s="1" t="s">
        <v>79</v>
      </c>
      <c r="I700" s="1" t="s">
        <v>45</v>
      </c>
      <c r="J700" s="5">
        <v>2023</v>
      </c>
      <c r="K700" s="1">
        <v>1448.96</v>
      </c>
      <c r="L700" s="1">
        <v>400727</v>
      </c>
      <c r="M700" s="1">
        <v>3299</v>
      </c>
      <c r="N700" s="1">
        <v>296</v>
      </c>
      <c r="O700" s="1">
        <v>1014.54</v>
      </c>
      <c r="P700" s="8">
        <f t="shared" si="50"/>
        <v>0.8232537363342125</v>
      </c>
      <c r="Q700" s="10">
        <f t="shared" si="51"/>
        <v>0.3075295544104274</v>
      </c>
      <c r="R700" s="12">
        <f t="shared" si="52"/>
        <v>3.4274999999999998</v>
      </c>
      <c r="S700" s="2">
        <f t="shared" si="53"/>
        <v>1.4281940583909951</v>
      </c>
      <c r="T700" s="18" t="str">
        <f t="shared" si="54"/>
        <v>🔴 Low</v>
      </c>
    </row>
    <row r="701" spans="1:20" x14ac:dyDescent="0.3">
      <c r="A701" s="17">
        <v>700</v>
      </c>
      <c r="B701" s="3" t="s">
        <v>98</v>
      </c>
      <c r="C701" s="3" t="s">
        <v>36</v>
      </c>
      <c r="D701" s="3" t="s">
        <v>41</v>
      </c>
      <c r="E701" s="3" t="s">
        <v>42</v>
      </c>
      <c r="F701" s="3" t="s">
        <v>24</v>
      </c>
      <c r="G701" s="3" t="s">
        <v>43</v>
      </c>
      <c r="H701" s="3" t="s">
        <v>83</v>
      </c>
      <c r="I701" s="3" t="s">
        <v>38</v>
      </c>
      <c r="J701" s="6">
        <v>2023</v>
      </c>
      <c r="K701" s="3">
        <v>4801.07</v>
      </c>
      <c r="L701" s="3">
        <v>106295</v>
      </c>
      <c r="M701" s="3">
        <v>1761</v>
      </c>
      <c r="N701" s="3">
        <v>217</v>
      </c>
      <c r="O701" s="3">
        <v>4555.2</v>
      </c>
      <c r="P701" s="9">
        <f t="shared" si="50"/>
        <v>1.6567100992520813</v>
      </c>
      <c r="Q701" s="11">
        <f t="shared" si="51"/>
        <v>2.5867120954003404</v>
      </c>
      <c r="R701" s="13">
        <f t="shared" si="52"/>
        <v>20.991705069124421</v>
      </c>
      <c r="S701" s="4">
        <f t="shared" si="53"/>
        <v>1.0539756761503336</v>
      </c>
      <c r="T701" s="19" t="str">
        <f t="shared" si="54"/>
        <v>🟡 Mid</v>
      </c>
    </row>
    <row r="702" spans="1:20" x14ac:dyDescent="0.3">
      <c r="A702" s="16">
        <v>701</v>
      </c>
      <c r="B702" s="1" t="s">
        <v>65</v>
      </c>
      <c r="C702" s="1" t="s">
        <v>36</v>
      </c>
      <c r="D702" s="1" t="s">
        <v>22</v>
      </c>
      <c r="E702" s="1" t="s">
        <v>56</v>
      </c>
      <c r="F702" s="1" t="s">
        <v>31</v>
      </c>
      <c r="G702" s="1" t="s">
        <v>57</v>
      </c>
      <c r="H702" s="1" t="s">
        <v>37</v>
      </c>
      <c r="I702" s="1" t="s">
        <v>38</v>
      </c>
      <c r="J702" s="5">
        <v>2024</v>
      </c>
      <c r="K702" s="1">
        <v>11460.06</v>
      </c>
      <c r="L702" s="1">
        <v>203754</v>
      </c>
      <c r="M702" s="1">
        <v>4020</v>
      </c>
      <c r="N702" s="1">
        <v>43</v>
      </c>
      <c r="O702" s="1">
        <v>8935.52</v>
      </c>
      <c r="P702" s="8">
        <f t="shared" si="50"/>
        <v>1.9729674018669572</v>
      </c>
      <c r="Q702" s="10">
        <f t="shared" si="51"/>
        <v>2.2227661691542289</v>
      </c>
      <c r="R702" s="12">
        <f t="shared" si="52"/>
        <v>207.80279069767442</v>
      </c>
      <c r="S702" s="2">
        <f t="shared" si="53"/>
        <v>1.2825286049384925</v>
      </c>
      <c r="T702" s="18" t="str">
        <f t="shared" si="54"/>
        <v>🟡 Mid</v>
      </c>
    </row>
    <row r="703" spans="1:20" x14ac:dyDescent="0.3">
      <c r="A703" s="17">
        <v>702</v>
      </c>
      <c r="B703" s="3" t="s">
        <v>97</v>
      </c>
      <c r="C703" s="3" t="s">
        <v>36</v>
      </c>
      <c r="D703" s="3" t="s">
        <v>22</v>
      </c>
      <c r="E703" s="3" t="s">
        <v>23</v>
      </c>
      <c r="F703" s="3" t="s">
        <v>47</v>
      </c>
      <c r="G703" s="3" t="s">
        <v>25</v>
      </c>
      <c r="H703" s="3" t="s">
        <v>68</v>
      </c>
      <c r="I703" s="3" t="s">
        <v>27</v>
      </c>
      <c r="J703" s="6">
        <v>2024</v>
      </c>
      <c r="K703" s="3">
        <v>13252.86</v>
      </c>
      <c r="L703" s="3">
        <v>17563</v>
      </c>
      <c r="M703" s="3">
        <v>347</v>
      </c>
      <c r="N703" s="3">
        <v>3</v>
      </c>
      <c r="O703" s="3">
        <v>10505.36</v>
      </c>
      <c r="P703" s="9">
        <f t="shared" si="50"/>
        <v>1.9757444627910947</v>
      </c>
      <c r="Q703" s="11">
        <f t="shared" si="51"/>
        <v>30.274812680115275</v>
      </c>
      <c r="R703" s="13">
        <f t="shared" si="52"/>
        <v>3501.7866666666669</v>
      </c>
      <c r="S703" s="4">
        <f t="shared" si="53"/>
        <v>1.2615331602153568</v>
      </c>
      <c r="T703" s="19" t="str">
        <f t="shared" si="54"/>
        <v>🟡 Mid</v>
      </c>
    </row>
    <row r="704" spans="1:20" x14ac:dyDescent="0.3">
      <c r="A704" s="16">
        <v>703</v>
      </c>
      <c r="B704" s="1" t="s">
        <v>94</v>
      </c>
      <c r="C704" s="1" t="s">
        <v>36</v>
      </c>
      <c r="D704" s="1" t="s">
        <v>29</v>
      </c>
      <c r="E704" s="1" t="s">
        <v>23</v>
      </c>
      <c r="F704" s="1" t="s">
        <v>24</v>
      </c>
      <c r="G704" s="1" t="s">
        <v>57</v>
      </c>
      <c r="H704" s="1" t="s">
        <v>83</v>
      </c>
      <c r="I704" s="1" t="s">
        <v>38</v>
      </c>
      <c r="J704" s="5">
        <v>2024</v>
      </c>
      <c r="K704" s="1">
        <v>6379.92</v>
      </c>
      <c r="L704" s="1">
        <v>632959</v>
      </c>
      <c r="M704" s="1">
        <v>8067</v>
      </c>
      <c r="N704" s="1">
        <v>253</v>
      </c>
      <c r="O704" s="1">
        <v>5948.19</v>
      </c>
      <c r="P704" s="8">
        <f t="shared" si="50"/>
        <v>1.2744901328522069</v>
      </c>
      <c r="Q704" s="10">
        <f t="shared" si="51"/>
        <v>0.73734845667534399</v>
      </c>
      <c r="R704" s="12">
        <f t="shared" si="52"/>
        <v>23.510632411067192</v>
      </c>
      <c r="S704" s="2">
        <f t="shared" si="53"/>
        <v>1.0725817433538607</v>
      </c>
      <c r="T704" s="18" t="str">
        <f t="shared" si="54"/>
        <v>🔴 Low</v>
      </c>
    </row>
    <row r="705" spans="1:20" x14ac:dyDescent="0.3">
      <c r="A705" s="17">
        <v>704</v>
      </c>
      <c r="B705" s="3" t="s">
        <v>49</v>
      </c>
      <c r="C705" s="3" t="s">
        <v>21</v>
      </c>
      <c r="D705" s="3" t="s">
        <v>13</v>
      </c>
      <c r="E705" s="3" t="s">
        <v>42</v>
      </c>
      <c r="F705" s="3" t="s">
        <v>31</v>
      </c>
      <c r="G705" s="3" t="s">
        <v>43</v>
      </c>
      <c r="H705" s="3" t="s">
        <v>44</v>
      </c>
      <c r="I705" s="3" t="s">
        <v>45</v>
      </c>
      <c r="J705" s="6">
        <v>2024</v>
      </c>
      <c r="K705" s="3">
        <v>13719.06</v>
      </c>
      <c r="L705" s="3">
        <v>732418</v>
      </c>
      <c r="M705" s="3">
        <v>5156</v>
      </c>
      <c r="N705" s="3">
        <v>305</v>
      </c>
      <c r="O705" s="3">
        <v>9241.69</v>
      </c>
      <c r="P705" s="9">
        <f t="shared" si="50"/>
        <v>0.70396959113511681</v>
      </c>
      <c r="Q705" s="11">
        <f t="shared" si="51"/>
        <v>1.7924146625290924</v>
      </c>
      <c r="R705" s="13">
        <f t="shared" si="52"/>
        <v>30.300622950819672</v>
      </c>
      <c r="S705" s="4">
        <f t="shared" si="53"/>
        <v>1.4844752420823464</v>
      </c>
      <c r="T705" s="19" t="str">
        <f t="shared" si="54"/>
        <v>🔴 Low</v>
      </c>
    </row>
    <row r="706" spans="1:20" x14ac:dyDescent="0.3">
      <c r="A706" s="16">
        <v>705</v>
      </c>
      <c r="B706" s="1" t="s">
        <v>78</v>
      </c>
      <c r="C706" s="1" t="s">
        <v>21</v>
      </c>
      <c r="D706" s="1" t="s">
        <v>41</v>
      </c>
      <c r="E706" s="1" t="s">
        <v>42</v>
      </c>
      <c r="F706" s="1" t="s">
        <v>47</v>
      </c>
      <c r="G706" s="1" t="s">
        <v>57</v>
      </c>
      <c r="H706" s="1" t="s">
        <v>79</v>
      </c>
      <c r="I706" s="1" t="s">
        <v>45</v>
      </c>
      <c r="J706" s="5">
        <v>2024</v>
      </c>
      <c r="K706" s="1">
        <v>7956.24</v>
      </c>
      <c r="L706" s="1">
        <v>676709</v>
      </c>
      <c r="M706" s="1">
        <v>4531</v>
      </c>
      <c r="N706" s="1">
        <v>527</v>
      </c>
      <c r="O706" s="1">
        <v>4818.16</v>
      </c>
      <c r="P706" s="8">
        <f t="shared" ref="P706:P769" si="55">IFERROR(M706/L706*100,0)</f>
        <v>0.66956402234934065</v>
      </c>
      <c r="Q706" s="10">
        <f t="shared" ref="Q706:Q769" si="56">IFERROR(O706/M706,0)</f>
        <v>1.0633767380269257</v>
      </c>
      <c r="R706" s="12">
        <f t="shared" ref="R706:R769" si="57">IFERROR(O706/N706,"-")</f>
        <v>9.1426185958254269</v>
      </c>
      <c r="S706" s="2">
        <f t="shared" ref="S706:S769" si="58">IFERROR(K706/O706,0)</f>
        <v>1.6513025719361749</v>
      </c>
      <c r="T706" s="18" t="str">
        <f t="shared" ref="T706:T769" si="59">IF(P706&gt;=3,"🟢 High",IF(P706&gt;=1.5,"🟡 Mid","🔴 Low"))</f>
        <v>🔴 Low</v>
      </c>
    </row>
    <row r="707" spans="1:20" x14ac:dyDescent="0.3">
      <c r="A707" s="17">
        <v>706</v>
      </c>
      <c r="B707" s="3" t="s">
        <v>88</v>
      </c>
      <c r="C707" s="3" t="s">
        <v>36</v>
      </c>
      <c r="D707" s="3" t="s">
        <v>13</v>
      </c>
      <c r="E707" s="3" t="s">
        <v>30</v>
      </c>
      <c r="F707" s="3" t="s">
        <v>31</v>
      </c>
      <c r="G707" s="3" t="s">
        <v>50</v>
      </c>
      <c r="H707" s="3" t="s">
        <v>83</v>
      </c>
      <c r="I707" s="3" t="s">
        <v>38</v>
      </c>
      <c r="J707" s="6">
        <v>2023</v>
      </c>
      <c r="K707" s="3">
        <v>1668.5</v>
      </c>
      <c r="L707" s="3">
        <v>397716</v>
      </c>
      <c r="M707" s="3">
        <v>8786</v>
      </c>
      <c r="N707" s="3">
        <v>746</v>
      </c>
      <c r="O707" s="3">
        <v>1142.6600000000001</v>
      </c>
      <c r="P707" s="9">
        <f t="shared" si="55"/>
        <v>2.2091140411751096</v>
      </c>
      <c r="Q707" s="11">
        <f t="shared" si="56"/>
        <v>0.13005463236967904</v>
      </c>
      <c r="R707" s="13">
        <f t="shared" si="57"/>
        <v>1.5317158176943702</v>
      </c>
      <c r="S707" s="4">
        <f t="shared" si="58"/>
        <v>1.4601893826685102</v>
      </c>
      <c r="T707" s="19" t="str">
        <f t="shared" si="59"/>
        <v>🟡 Mid</v>
      </c>
    </row>
    <row r="708" spans="1:20" x14ac:dyDescent="0.3">
      <c r="A708" s="16">
        <v>707</v>
      </c>
      <c r="B708" s="1" t="s">
        <v>87</v>
      </c>
      <c r="C708" s="1" t="s">
        <v>40</v>
      </c>
      <c r="D708" s="1" t="s">
        <v>22</v>
      </c>
      <c r="E708" s="1" t="s">
        <v>30</v>
      </c>
      <c r="F708" s="1" t="s">
        <v>31</v>
      </c>
      <c r="G708" s="1" t="s">
        <v>32</v>
      </c>
      <c r="H708" s="1" t="s">
        <v>48</v>
      </c>
      <c r="I708" s="1" t="s">
        <v>34</v>
      </c>
      <c r="J708" s="5">
        <v>2024</v>
      </c>
      <c r="K708" s="1">
        <v>3118.21</v>
      </c>
      <c r="L708" s="1">
        <v>337963</v>
      </c>
      <c r="M708" s="1">
        <v>3636</v>
      </c>
      <c r="N708" s="1">
        <v>46</v>
      </c>
      <c r="O708" s="1">
        <v>3151.2</v>
      </c>
      <c r="P708" s="8">
        <f t="shared" si="55"/>
        <v>1.0758574163443926</v>
      </c>
      <c r="Q708" s="10">
        <f t="shared" si="56"/>
        <v>0.86666666666666659</v>
      </c>
      <c r="R708" s="12">
        <f t="shared" si="57"/>
        <v>68.504347826086956</v>
      </c>
      <c r="S708" s="2">
        <f t="shared" si="58"/>
        <v>0.98953097232800213</v>
      </c>
      <c r="T708" s="18" t="str">
        <f t="shared" si="59"/>
        <v>🔴 Low</v>
      </c>
    </row>
    <row r="709" spans="1:20" hidden="1" x14ac:dyDescent="0.3">
      <c r="A709" s="17">
        <v>708</v>
      </c>
      <c r="B709" s="3" t="s">
        <v>73</v>
      </c>
      <c r="C709" s="3" t="s">
        <v>21</v>
      </c>
      <c r="D709" s="3" t="s">
        <v>22</v>
      </c>
      <c r="E709" s="3" t="s">
        <v>30</v>
      </c>
      <c r="F709" s="3" t="s">
        <v>31</v>
      </c>
      <c r="G709" s="3" t="s">
        <v>43</v>
      </c>
      <c r="H709" s="3" t="s">
        <v>37</v>
      </c>
      <c r="I709" s="3" t="s">
        <v>38</v>
      </c>
      <c r="J709" s="6">
        <v>2023</v>
      </c>
      <c r="K709" s="3">
        <v>4513.4399999999996</v>
      </c>
      <c r="L709" s="3">
        <v>61700</v>
      </c>
      <c r="M709" s="3">
        <v>30</v>
      </c>
      <c r="N709" s="3">
        <v>0</v>
      </c>
      <c r="O709" s="3">
        <v>3968.68</v>
      </c>
      <c r="P709" s="9">
        <f t="shared" si="55"/>
        <v>4.8622366288492702E-2</v>
      </c>
      <c r="Q709" s="11">
        <f t="shared" si="56"/>
        <v>132.28933333333333</v>
      </c>
      <c r="R709" s="13" t="str">
        <f t="shared" si="57"/>
        <v>-</v>
      </c>
      <c r="S709" s="4">
        <f t="shared" si="58"/>
        <v>1.1372647832528699</v>
      </c>
      <c r="T709" s="19" t="str">
        <f t="shared" si="59"/>
        <v>🔴 Low</v>
      </c>
    </row>
    <row r="710" spans="1:20" x14ac:dyDescent="0.3">
      <c r="A710" s="16">
        <v>709</v>
      </c>
      <c r="B710" s="1" t="s">
        <v>97</v>
      </c>
      <c r="C710" s="1" t="s">
        <v>36</v>
      </c>
      <c r="D710" s="1" t="s">
        <v>29</v>
      </c>
      <c r="E710" s="1" t="s">
        <v>56</v>
      </c>
      <c r="F710" s="1" t="s">
        <v>31</v>
      </c>
      <c r="G710" s="1" t="s">
        <v>43</v>
      </c>
      <c r="H710" s="1" t="s">
        <v>26</v>
      </c>
      <c r="I710" s="1" t="s">
        <v>27</v>
      </c>
      <c r="J710" s="5">
        <v>2024</v>
      </c>
      <c r="K710" s="1">
        <v>12780.76</v>
      </c>
      <c r="L710" s="1">
        <v>72755</v>
      </c>
      <c r="M710" s="1">
        <v>2131</v>
      </c>
      <c r="N710" s="1">
        <v>33</v>
      </c>
      <c r="O710" s="1">
        <v>11073.69</v>
      </c>
      <c r="P710" s="8">
        <f t="shared" si="55"/>
        <v>2.9290083155796851</v>
      </c>
      <c r="Q710" s="10">
        <f t="shared" si="56"/>
        <v>5.1964758329422809</v>
      </c>
      <c r="R710" s="12">
        <f t="shared" si="57"/>
        <v>335.56636363636363</v>
      </c>
      <c r="S710" s="2">
        <f t="shared" si="58"/>
        <v>1.1541554802419067</v>
      </c>
      <c r="T710" s="18" t="str">
        <f t="shared" si="59"/>
        <v>🟡 Mid</v>
      </c>
    </row>
    <row r="711" spans="1:20" x14ac:dyDescent="0.3">
      <c r="A711" s="17">
        <v>710</v>
      </c>
      <c r="B711" s="3" t="s">
        <v>93</v>
      </c>
      <c r="C711" s="3" t="s">
        <v>36</v>
      </c>
      <c r="D711" s="3" t="s">
        <v>46</v>
      </c>
      <c r="E711" s="3" t="s">
        <v>42</v>
      </c>
      <c r="F711" s="3" t="s">
        <v>24</v>
      </c>
      <c r="G711" s="3" t="s">
        <v>32</v>
      </c>
      <c r="H711" s="3" t="s">
        <v>81</v>
      </c>
      <c r="I711" s="3" t="s">
        <v>34</v>
      </c>
      <c r="J711" s="6">
        <v>2023</v>
      </c>
      <c r="K711" s="3">
        <v>5108.05</v>
      </c>
      <c r="L711" s="3">
        <v>86961</v>
      </c>
      <c r="M711" s="3">
        <v>2314</v>
      </c>
      <c r="N711" s="3">
        <v>151</v>
      </c>
      <c r="O711" s="3">
        <v>4066.88</v>
      </c>
      <c r="P711" s="9">
        <f t="shared" si="55"/>
        <v>2.6609629604075389</v>
      </c>
      <c r="Q711" s="11">
        <f t="shared" si="56"/>
        <v>1.7575108038029388</v>
      </c>
      <c r="R711" s="13">
        <f t="shared" si="57"/>
        <v>26.932980132450332</v>
      </c>
      <c r="S711" s="4">
        <f t="shared" si="58"/>
        <v>1.2560119796994256</v>
      </c>
      <c r="T711" s="19" t="str">
        <f t="shared" si="59"/>
        <v>🟡 Mid</v>
      </c>
    </row>
    <row r="712" spans="1:20" x14ac:dyDescent="0.3">
      <c r="A712" s="16">
        <v>711</v>
      </c>
      <c r="B712" s="1" t="s">
        <v>97</v>
      </c>
      <c r="C712" s="1" t="s">
        <v>36</v>
      </c>
      <c r="D712" s="1" t="s">
        <v>46</v>
      </c>
      <c r="E712" s="1" t="s">
        <v>56</v>
      </c>
      <c r="F712" s="1" t="s">
        <v>24</v>
      </c>
      <c r="G712" s="1" t="s">
        <v>32</v>
      </c>
      <c r="H712" s="1" t="s">
        <v>83</v>
      </c>
      <c r="I712" s="1" t="s">
        <v>38</v>
      </c>
      <c r="J712" s="5">
        <v>2024</v>
      </c>
      <c r="K712" s="1">
        <v>6064.38</v>
      </c>
      <c r="L712" s="1">
        <v>475046</v>
      </c>
      <c r="M712" s="1">
        <v>14861</v>
      </c>
      <c r="N712" s="1">
        <v>1363</v>
      </c>
      <c r="O712" s="1">
        <v>4864.1899999999996</v>
      </c>
      <c r="P712" s="8">
        <f t="shared" si="55"/>
        <v>3.1283286250173665</v>
      </c>
      <c r="Q712" s="10">
        <f t="shared" si="56"/>
        <v>0.32731242850413833</v>
      </c>
      <c r="R712" s="12">
        <f t="shared" si="57"/>
        <v>3.5687380777696256</v>
      </c>
      <c r="S712" s="2">
        <f t="shared" si="58"/>
        <v>1.2467399505364718</v>
      </c>
      <c r="T712" s="18" t="str">
        <f t="shared" si="59"/>
        <v>🟢 High</v>
      </c>
    </row>
    <row r="713" spans="1:20" x14ac:dyDescent="0.3">
      <c r="A713" s="17">
        <v>712</v>
      </c>
      <c r="B713" s="3" t="s">
        <v>82</v>
      </c>
      <c r="C713" s="3" t="s">
        <v>40</v>
      </c>
      <c r="D713" s="3" t="s">
        <v>41</v>
      </c>
      <c r="E713" s="3" t="s">
        <v>30</v>
      </c>
      <c r="F713" s="3" t="s">
        <v>47</v>
      </c>
      <c r="G713" s="3" t="s">
        <v>50</v>
      </c>
      <c r="H713" s="3" t="s">
        <v>33</v>
      </c>
      <c r="I713" s="3" t="s">
        <v>34</v>
      </c>
      <c r="J713" s="6">
        <v>2024</v>
      </c>
      <c r="K713" s="3">
        <v>15326.33</v>
      </c>
      <c r="L713" s="3">
        <v>510414</v>
      </c>
      <c r="M713" s="3">
        <v>7821</v>
      </c>
      <c r="N713" s="3">
        <v>481</v>
      </c>
      <c r="O713" s="3">
        <v>11651.02</v>
      </c>
      <c r="P713" s="9">
        <f t="shared" si="55"/>
        <v>1.5322855564306621</v>
      </c>
      <c r="Q713" s="11">
        <f t="shared" si="56"/>
        <v>1.4897097557857053</v>
      </c>
      <c r="R713" s="13">
        <f t="shared" si="57"/>
        <v>24.222494802494804</v>
      </c>
      <c r="S713" s="4">
        <f t="shared" si="58"/>
        <v>1.3154496344526059</v>
      </c>
      <c r="T713" s="19" t="str">
        <f t="shared" si="59"/>
        <v>🟡 Mid</v>
      </c>
    </row>
    <row r="714" spans="1:20" x14ac:dyDescent="0.3">
      <c r="A714" s="16">
        <v>713</v>
      </c>
      <c r="B714" s="1" t="s">
        <v>71</v>
      </c>
      <c r="C714" s="1" t="s">
        <v>36</v>
      </c>
      <c r="D714" s="1" t="s">
        <v>29</v>
      </c>
      <c r="E714" s="1" t="s">
        <v>61</v>
      </c>
      <c r="F714" s="1" t="s">
        <v>24</v>
      </c>
      <c r="G714" s="1" t="s">
        <v>32</v>
      </c>
      <c r="H714" s="1" t="s">
        <v>54</v>
      </c>
      <c r="I714" s="1" t="s">
        <v>45</v>
      </c>
      <c r="J714" s="5">
        <v>2023</v>
      </c>
      <c r="K714" s="1">
        <v>5517.19</v>
      </c>
      <c r="L714" s="1">
        <v>491173</v>
      </c>
      <c r="M714" s="1">
        <v>13063</v>
      </c>
      <c r="N714" s="1">
        <v>350</v>
      </c>
      <c r="O714" s="1">
        <v>4424.54</v>
      </c>
      <c r="P714" s="8">
        <f t="shared" si="55"/>
        <v>2.6595517261738735</v>
      </c>
      <c r="Q714" s="10">
        <f t="shared" si="56"/>
        <v>0.33870780065834799</v>
      </c>
      <c r="R714" s="12">
        <f t="shared" si="57"/>
        <v>12.641542857142857</v>
      </c>
      <c r="S714" s="2">
        <f t="shared" si="58"/>
        <v>1.2469522255420902</v>
      </c>
      <c r="T714" s="18" t="str">
        <f t="shared" si="59"/>
        <v>🟡 Mid</v>
      </c>
    </row>
    <row r="715" spans="1:20" x14ac:dyDescent="0.3">
      <c r="A715" s="17">
        <v>714</v>
      </c>
      <c r="B715" s="3" t="s">
        <v>102</v>
      </c>
      <c r="C715" s="3" t="s">
        <v>40</v>
      </c>
      <c r="D715" s="3" t="s">
        <v>41</v>
      </c>
      <c r="E715" s="3" t="s">
        <v>30</v>
      </c>
      <c r="F715" s="3" t="s">
        <v>24</v>
      </c>
      <c r="G715" s="3" t="s">
        <v>25</v>
      </c>
      <c r="H715" s="3" t="s">
        <v>68</v>
      </c>
      <c r="I715" s="3" t="s">
        <v>27</v>
      </c>
      <c r="J715" s="6">
        <v>2023</v>
      </c>
      <c r="K715" s="3">
        <v>17302.27</v>
      </c>
      <c r="L715" s="3">
        <v>770847</v>
      </c>
      <c r="M715" s="3">
        <v>15287</v>
      </c>
      <c r="N715" s="3">
        <v>1804</v>
      </c>
      <c r="O715" s="3">
        <v>13952.73</v>
      </c>
      <c r="P715" s="9">
        <f t="shared" si="55"/>
        <v>1.9831432177851116</v>
      </c>
      <c r="Q715" s="11">
        <f t="shared" si="56"/>
        <v>0.91271864983319162</v>
      </c>
      <c r="R715" s="13">
        <f t="shared" si="57"/>
        <v>7.734329268292683</v>
      </c>
      <c r="S715" s="4">
        <f t="shared" si="58"/>
        <v>1.2400634141132238</v>
      </c>
      <c r="T715" s="19" t="str">
        <f t="shared" si="59"/>
        <v>🟡 Mid</v>
      </c>
    </row>
    <row r="716" spans="1:20" x14ac:dyDescent="0.3">
      <c r="A716" s="16">
        <v>715</v>
      </c>
      <c r="B716" s="1" t="s">
        <v>80</v>
      </c>
      <c r="C716" s="1" t="s">
        <v>40</v>
      </c>
      <c r="D716" s="1" t="s">
        <v>13</v>
      </c>
      <c r="E716" s="1" t="s">
        <v>56</v>
      </c>
      <c r="F716" s="1" t="s">
        <v>47</v>
      </c>
      <c r="G716" s="1" t="s">
        <v>43</v>
      </c>
      <c r="H716" s="1" t="s">
        <v>44</v>
      </c>
      <c r="I716" s="1" t="s">
        <v>45</v>
      </c>
      <c r="J716" s="5">
        <v>2023</v>
      </c>
      <c r="K716" s="1">
        <v>8471.36</v>
      </c>
      <c r="L716" s="1">
        <v>45712</v>
      </c>
      <c r="M716" s="1">
        <v>849</v>
      </c>
      <c r="N716" s="1">
        <v>97</v>
      </c>
      <c r="O716" s="1">
        <v>5660.5</v>
      </c>
      <c r="P716" s="8">
        <f t="shared" si="55"/>
        <v>1.857280364018201</v>
      </c>
      <c r="Q716" s="10">
        <f t="shared" si="56"/>
        <v>6.6672555948174326</v>
      </c>
      <c r="R716" s="12">
        <f t="shared" si="57"/>
        <v>58.355670103092784</v>
      </c>
      <c r="S716" s="2">
        <f t="shared" si="58"/>
        <v>1.4965745075523365</v>
      </c>
      <c r="T716" s="18" t="str">
        <f t="shared" si="59"/>
        <v>🟡 Mid</v>
      </c>
    </row>
    <row r="717" spans="1:20" x14ac:dyDescent="0.3">
      <c r="A717" s="17">
        <v>716</v>
      </c>
      <c r="B717" s="3" t="s">
        <v>77</v>
      </c>
      <c r="C717" s="3" t="s">
        <v>40</v>
      </c>
      <c r="D717" s="3" t="s">
        <v>13</v>
      </c>
      <c r="E717" s="3" t="s">
        <v>61</v>
      </c>
      <c r="F717" s="3" t="s">
        <v>31</v>
      </c>
      <c r="G717" s="3" t="s">
        <v>50</v>
      </c>
      <c r="H717" s="3" t="s">
        <v>44</v>
      </c>
      <c r="I717" s="3" t="s">
        <v>45</v>
      </c>
      <c r="J717" s="6">
        <v>2024</v>
      </c>
      <c r="K717" s="3">
        <v>14080.88</v>
      </c>
      <c r="L717" s="3">
        <v>687524</v>
      </c>
      <c r="M717" s="3">
        <v>10916</v>
      </c>
      <c r="N717" s="3">
        <v>840</v>
      </c>
      <c r="O717" s="3">
        <v>10956.29</v>
      </c>
      <c r="P717" s="9">
        <f t="shared" si="55"/>
        <v>1.5877263920968578</v>
      </c>
      <c r="Q717" s="11">
        <f t="shared" si="56"/>
        <v>1.0036909124221327</v>
      </c>
      <c r="R717" s="13">
        <f t="shared" si="57"/>
        <v>13.043202380952382</v>
      </c>
      <c r="S717" s="4">
        <f t="shared" si="58"/>
        <v>1.2851868652618723</v>
      </c>
      <c r="T717" s="19" t="str">
        <f t="shared" si="59"/>
        <v>🟡 Mid</v>
      </c>
    </row>
    <row r="718" spans="1:20" x14ac:dyDescent="0.3">
      <c r="A718" s="16">
        <v>717</v>
      </c>
      <c r="B718" s="1" t="s">
        <v>93</v>
      </c>
      <c r="C718" s="1" t="s">
        <v>36</v>
      </c>
      <c r="D718" s="1" t="s">
        <v>41</v>
      </c>
      <c r="E718" s="1" t="s">
        <v>42</v>
      </c>
      <c r="F718" s="1" t="s">
        <v>47</v>
      </c>
      <c r="G718" s="1" t="s">
        <v>57</v>
      </c>
      <c r="H718" s="1" t="s">
        <v>54</v>
      </c>
      <c r="I718" s="1" t="s">
        <v>45</v>
      </c>
      <c r="J718" s="5">
        <v>2023</v>
      </c>
      <c r="K718" s="1">
        <v>5595.95</v>
      </c>
      <c r="L718" s="1">
        <v>482595</v>
      </c>
      <c r="M718" s="1">
        <v>14792</v>
      </c>
      <c r="N718" s="1">
        <v>1180</v>
      </c>
      <c r="O718" s="1">
        <v>4716.8500000000004</v>
      </c>
      <c r="P718" s="8">
        <f t="shared" si="55"/>
        <v>3.0650959914628206</v>
      </c>
      <c r="Q718" s="10">
        <f t="shared" si="56"/>
        <v>0.31887844780962687</v>
      </c>
      <c r="R718" s="12">
        <f t="shared" si="57"/>
        <v>3.9973305084745765</v>
      </c>
      <c r="S718" s="2">
        <f t="shared" si="58"/>
        <v>1.1863743812077974</v>
      </c>
      <c r="T718" s="18" t="str">
        <f t="shared" si="59"/>
        <v>🟢 High</v>
      </c>
    </row>
    <row r="719" spans="1:20" x14ac:dyDescent="0.3">
      <c r="A719" s="17">
        <v>718</v>
      </c>
      <c r="B719" s="3" t="s">
        <v>69</v>
      </c>
      <c r="C719" s="3" t="s">
        <v>21</v>
      </c>
      <c r="D719" s="3" t="s">
        <v>22</v>
      </c>
      <c r="E719" s="3" t="s">
        <v>42</v>
      </c>
      <c r="F719" s="3" t="s">
        <v>24</v>
      </c>
      <c r="G719" s="3" t="s">
        <v>50</v>
      </c>
      <c r="H719" s="3" t="s">
        <v>33</v>
      </c>
      <c r="I719" s="3" t="s">
        <v>34</v>
      </c>
      <c r="J719" s="6">
        <v>2023</v>
      </c>
      <c r="K719" s="3">
        <v>10611.47</v>
      </c>
      <c r="L719" s="3">
        <v>202995</v>
      </c>
      <c r="M719" s="3">
        <v>1224</v>
      </c>
      <c r="N719" s="3">
        <v>22</v>
      </c>
      <c r="O719" s="3">
        <v>7105.93</v>
      </c>
      <c r="P719" s="9">
        <f t="shared" si="55"/>
        <v>0.60297051651518507</v>
      </c>
      <c r="Q719" s="11">
        <f t="shared" si="56"/>
        <v>5.8054983660130723</v>
      </c>
      <c r="R719" s="13">
        <f t="shared" si="57"/>
        <v>322.99681818181818</v>
      </c>
      <c r="S719" s="4">
        <f t="shared" si="58"/>
        <v>1.4933259967379355</v>
      </c>
      <c r="T719" s="19" t="str">
        <f t="shared" si="59"/>
        <v>🔴 Low</v>
      </c>
    </row>
    <row r="720" spans="1:20" x14ac:dyDescent="0.3">
      <c r="A720" s="16">
        <v>719</v>
      </c>
      <c r="B720" s="1" t="s">
        <v>77</v>
      </c>
      <c r="C720" s="1" t="s">
        <v>40</v>
      </c>
      <c r="D720" s="1" t="s">
        <v>13</v>
      </c>
      <c r="E720" s="1" t="s">
        <v>61</v>
      </c>
      <c r="F720" s="1" t="s">
        <v>31</v>
      </c>
      <c r="G720" s="1" t="s">
        <v>50</v>
      </c>
      <c r="H720" s="1" t="s">
        <v>79</v>
      </c>
      <c r="I720" s="1" t="s">
        <v>45</v>
      </c>
      <c r="J720" s="5">
        <v>2024</v>
      </c>
      <c r="K720" s="1">
        <v>14811.7</v>
      </c>
      <c r="L720" s="1">
        <v>794013</v>
      </c>
      <c r="M720" s="1">
        <v>17271</v>
      </c>
      <c r="N720" s="1">
        <v>970</v>
      </c>
      <c r="O720" s="1">
        <v>12844.64</v>
      </c>
      <c r="P720" s="8">
        <f t="shared" si="55"/>
        <v>2.1751533035353323</v>
      </c>
      <c r="Q720" s="10">
        <f t="shared" si="56"/>
        <v>0.74371142377395627</v>
      </c>
      <c r="R720" s="12">
        <f t="shared" si="57"/>
        <v>13.241896907216494</v>
      </c>
      <c r="S720" s="2">
        <f t="shared" si="58"/>
        <v>1.1531424781075998</v>
      </c>
      <c r="T720" s="18" t="str">
        <f t="shared" si="59"/>
        <v>🟡 Mid</v>
      </c>
    </row>
    <row r="721" spans="1:20" x14ac:dyDescent="0.3">
      <c r="A721" s="17">
        <v>720</v>
      </c>
      <c r="B721" s="3" t="s">
        <v>92</v>
      </c>
      <c r="C721" s="3" t="s">
        <v>40</v>
      </c>
      <c r="D721" s="3" t="s">
        <v>13</v>
      </c>
      <c r="E721" s="3" t="s">
        <v>30</v>
      </c>
      <c r="F721" s="3" t="s">
        <v>31</v>
      </c>
      <c r="G721" s="3" t="s">
        <v>50</v>
      </c>
      <c r="H721" s="3" t="s">
        <v>54</v>
      </c>
      <c r="I721" s="3" t="s">
        <v>45</v>
      </c>
      <c r="J721" s="6">
        <v>2024</v>
      </c>
      <c r="K721" s="3">
        <v>625.20000000000005</v>
      </c>
      <c r="L721" s="3">
        <v>181578</v>
      </c>
      <c r="M721" s="3">
        <v>1878</v>
      </c>
      <c r="N721" s="3">
        <v>201</v>
      </c>
      <c r="O721" s="3">
        <v>375.53</v>
      </c>
      <c r="P721" s="9">
        <f t="shared" si="55"/>
        <v>1.0342662657370387</v>
      </c>
      <c r="Q721" s="11">
        <f t="shared" si="56"/>
        <v>0.19996272630457931</v>
      </c>
      <c r="R721" s="13">
        <f t="shared" si="57"/>
        <v>1.8683084577114426</v>
      </c>
      <c r="S721" s="4">
        <f t="shared" si="58"/>
        <v>1.6648470162170801</v>
      </c>
      <c r="T721" s="19" t="str">
        <f t="shared" si="59"/>
        <v>🔴 Low</v>
      </c>
    </row>
    <row r="722" spans="1:20" x14ac:dyDescent="0.3">
      <c r="A722" s="16">
        <v>721</v>
      </c>
      <c r="B722" s="1" t="s">
        <v>75</v>
      </c>
      <c r="C722" s="1" t="s">
        <v>36</v>
      </c>
      <c r="D722" s="1" t="s">
        <v>29</v>
      </c>
      <c r="E722" s="1" t="s">
        <v>56</v>
      </c>
      <c r="F722" s="1" t="s">
        <v>31</v>
      </c>
      <c r="G722" s="1" t="s">
        <v>43</v>
      </c>
      <c r="H722" s="1" t="s">
        <v>54</v>
      </c>
      <c r="I722" s="1" t="s">
        <v>45</v>
      </c>
      <c r="J722" s="5">
        <v>2024</v>
      </c>
      <c r="K722" s="1">
        <v>3827.37</v>
      </c>
      <c r="L722" s="1">
        <v>397850</v>
      </c>
      <c r="M722" s="1">
        <v>11555</v>
      </c>
      <c r="N722" s="1">
        <v>284</v>
      </c>
      <c r="O722" s="1">
        <v>3104.37</v>
      </c>
      <c r="P722" s="8">
        <f t="shared" si="55"/>
        <v>2.9043609400527837</v>
      </c>
      <c r="Q722" s="10">
        <f t="shared" si="56"/>
        <v>0.26866032020770231</v>
      </c>
      <c r="R722" s="12">
        <f t="shared" si="57"/>
        <v>10.93088028169014</v>
      </c>
      <c r="S722" s="2">
        <f t="shared" si="58"/>
        <v>1.2328974961103218</v>
      </c>
      <c r="T722" s="18" t="str">
        <f t="shared" si="59"/>
        <v>🟡 Mid</v>
      </c>
    </row>
    <row r="723" spans="1:20" x14ac:dyDescent="0.3">
      <c r="A723" s="17">
        <v>722</v>
      </c>
      <c r="B723" s="3" t="s">
        <v>89</v>
      </c>
      <c r="C723" s="3" t="s">
        <v>36</v>
      </c>
      <c r="D723" s="3" t="s">
        <v>29</v>
      </c>
      <c r="E723" s="3" t="s">
        <v>30</v>
      </c>
      <c r="F723" s="3" t="s">
        <v>24</v>
      </c>
      <c r="G723" s="3" t="s">
        <v>25</v>
      </c>
      <c r="H723" s="3" t="s">
        <v>68</v>
      </c>
      <c r="I723" s="3" t="s">
        <v>27</v>
      </c>
      <c r="J723" s="6">
        <v>2023</v>
      </c>
      <c r="K723" s="3">
        <v>16278.98</v>
      </c>
      <c r="L723" s="3">
        <v>206205</v>
      </c>
      <c r="M723" s="3">
        <v>6283</v>
      </c>
      <c r="N723" s="3">
        <v>111</v>
      </c>
      <c r="O723" s="3">
        <v>15936.39</v>
      </c>
      <c r="P723" s="9">
        <f t="shared" si="55"/>
        <v>3.0469678232826558</v>
      </c>
      <c r="Q723" s="11">
        <f t="shared" si="56"/>
        <v>2.5364300493394873</v>
      </c>
      <c r="R723" s="13">
        <f t="shared" si="57"/>
        <v>143.57108108108108</v>
      </c>
      <c r="S723" s="4">
        <f t="shared" si="58"/>
        <v>1.0214973403637837</v>
      </c>
      <c r="T723" s="19" t="str">
        <f t="shared" si="59"/>
        <v>🟢 High</v>
      </c>
    </row>
    <row r="724" spans="1:20" x14ac:dyDescent="0.3">
      <c r="A724" s="16">
        <v>723</v>
      </c>
      <c r="B724" s="1" t="s">
        <v>66</v>
      </c>
      <c r="C724" s="1" t="s">
        <v>40</v>
      </c>
      <c r="D724" s="1" t="s">
        <v>29</v>
      </c>
      <c r="E724" s="1" t="s">
        <v>42</v>
      </c>
      <c r="F724" s="1" t="s">
        <v>31</v>
      </c>
      <c r="G724" s="1" t="s">
        <v>25</v>
      </c>
      <c r="H724" s="1" t="s">
        <v>58</v>
      </c>
      <c r="I724" s="1" t="s">
        <v>27</v>
      </c>
      <c r="J724" s="5">
        <v>2024</v>
      </c>
      <c r="K724" s="1">
        <v>2171.29</v>
      </c>
      <c r="L724" s="1">
        <v>135738</v>
      </c>
      <c r="M724" s="1">
        <v>2067</v>
      </c>
      <c r="N724" s="1">
        <v>56</v>
      </c>
      <c r="O724" s="1">
        <v>1738.59</v>
      </c>
      <c r="P724" s="8">
        <f t="shared" si="55"/>
        <v>1.5227865446669318</v>
      </c>
      <c r="Q724" s="10">
        <f t="shared" si="56"/>
        <v>0.84111756168359941</v>
      </c>
      <c r="R724" s="12">
        <f t="shared" si="57"/>
        <v>31.046249999999997</v>
      </c>
      <c r="S724" s="2">
        <f t="shared" si="58"/>
        <v>1.2488798394100966</v>
      </c>
      <c r="T724" s="18" t="str">
        <f t="shared" si="59"/>
        <v>🟡 Mid</v>
      </c>
    </row>
    <row r="725" spans="1:20" x14ac:dyDescent="0.3">
      <c r="A725" s="17">
        <v>724</v>
      </c>
      <c r="B725" s="3" t="s">
        <v>20</v>
      </c>
      <c r="C725" s="3" t="s">
        <v>21</v>
      </c>
      <c r="D725" s="3" t="s">
        <v>22</v>
      </c>
      <c r="E725" s="3" t="s">
        <v>42</v>
      </c>
      <c r="F725" s="3" t="s">
        <v>47</v>
      </c>
      <c r="G725" s="3" t="s">
        <v>57</v>
      </c>
      <c r="H725" s="3" t="s">
        <v>44</v>
      </c>
      <c r="I725" s="3" t="s">
        <v>45</v>
      </c>
      <c r="J725" s="6">
        <v>2023</v>
      </c>
      <c r="K725" s="3">
        <v>2388.42</v>
      </c>
      <c r="L725" s="3">
        <v>552707</v>
      </c>
      <c r="M725" s="3">
        <v>6362</v>
      </c>
      <c r="N725" s="3">
        <v>107</v>
      </c>
      <c r="O725" s="3">
        <v>1809.9</v>
      </c>
      <c r="P725" s="9">
        <f t="shared" si="55"/>
        <v>1.1510619550684178</v>
      </c>
      <c r="Q725" s="11">
        <f t="shared" si="56"/>
        <v>0.28448601068846274</v>
      </c>
      <c r="R725" s="13">
        <f t="shared" si="57"/>
        <v>16.91495327102804</v>
      </c>
      <c r="S725" s="4">
        <f t="shared" si="58"/>
        <v>1.3196419691695673</v>
      </c>
      <c r="T725" s="19" t="str">
        <f t="shared" si="59"/>
        <v>🔴 Low</v>
      </c>
    </row>
    <row r="726" spans="1:20" x14ac:dyDescent="0.3">
      <c r="A726" s="16">
        <v>725</v>
      </c>
      <c r="B726" s="1" t="s">
        <v>59</v>
      </c>
      <c r="C726" s="1" t="s">
        <v>21</v>
      </c>
      <c r="D726" s="1" t="s">
        <v>41</v>
      </c>
      <c r="E726" s="1" t="s">
        <v>56</v>
      </c>
      <c r="F726" s="1" t="s">
        <v>47</v>
      </c>
      <c r="G726" s="1" t="s">
        <v>32</v>
      </c>
      <c r="H726" s="1" t="s">
        <v>33</v>
      </c>
      <c r="I726" s="1" t="s">
        <v>34</v>
      </c>
      <c r="J726" s="5">
        <v>2024</v>
      </c>
      <c r="K726" s="1">
        <v>7730.31</v>
      </c>
      <c r="L726" s="1">
        <v>364742</v>
      </c>
      <c r="M726" s="1">
        <v>5913</v>
      </c>
      <c r="N726" s="1">
        <v>799</v>
      </c>
      <c r="O726" s="1">
        <v>6797.52</v>
      </c>
      <c r="P726" s="8">
        <f t="shared" si="55"/>
        <v>1.6211459058731927</v>
      </c>
      <c r="Q726" s="10">
        <f t="shared" si="56"/>
        <v>1.1495890410958904</v>
      </c>
      <c r="R726" s="12">
        <f t="shared" si="57"/>
        <v>8.5075344180225283</v>
      </c>
      <c r="S726" s="2">
        <f t="shared" si="58"/>
        <v>1.1372250467817675</v>
      </c>
      <c r="T726" s="18" t="str">
        <f t="shared" si="59"/>
        <v>🟡 Mid</v>
      </c>
    </row>
    <row r="727" spans="1:20" x14ac:dyDescent="0.3">
      <c r="A727" s="17">
        <v>726</v>
      </c>
      <c r="B727" s="3" t="s">
        <v>60</v>
      </c>
      <c r="C727" s="3" t="s">
        <v>40</v>
      </c>
      <c r="D727" s="3" t="s">
        <v>13</v>
      </c>
      <c r="E727" s="3" t="s">
        <v>23</v>
      </c>
      <c r="F727" s="3" t="s">
        <v>24</v>
      </c>
      <c r="G727" s="3" t="s">
        <v>57</v>
      </c>
      <c r="H727" s="3" t="s">
        <v>48</v>
      </c>
      <c r="I727" s="3" t="s">
        <v>34</v>
      </c>
      <c r="J727" s="6">
        <v>2024</v>
      </c>
      <c r="K727" s="3">
        <v>14641.79</v>
      </c>
      <c r="L727" s="3">
        <v>150608</v>
      </c>
      <c r="M727" s="3">
        <v>2404</v>
      </c>
      <c r="N727" s="3">
        <v>124</v>
      </c>
      <c r="O727" s="3">
        <v>9540.82</v>
      </c>
      <c r="P727" s="9">
        <f t="shared" si="55"/>
        <v>1.5961967491766704</v>
      </c>
      <c r="Q727" s="11">
        <f t="shared" si="56"/>
        <v>3.9687271214642261</v>
      </c>
      <c r="R727" s="13">
        <f t="shared" si="57"/>
        <v>76.942096774193544</v>
      </c>
      <c r="S727" s="4">
        <f t="shared" si="58"/>
        <v>1.534646917141294</v>
      </c>
      <c r="T727" s="19" t="str">
        <f t="shared" si="59"/>
        <v>🟡 Mid</v>
      </c>
    </row>
    <row r="728" spans="1:20" x14ac:dyDescent="0.3">
      <c r="A728" s="16">
        <v>727</v>
      </c>
      <c r="B728" s="1" t="s">
        <v>59</v>
      </c>
      <c r="C728" s="1" t="s">
        <v>21</v>
      </c>
      <c r="D728" s="1" t="s">
        <v>46</v>
      </c>
      <c r="E728" s="1" t="s">
        <v>23</v>
      </c>
      <c r="F728" s="1" t="s">
        <v>47</v>
      </c>
      <c r="G728" s="1" t="s">
        <v>32</v>
      </c>
      <c r="H728" s="1" t="s">
        <v>44</v>
      </c>
      <c r="I728" s="1" t="s">
        <v>45</v>
      </c>
      <c r="J728" s="5">
        <v>2024</v>
      </c>
      <c r="K728" s="1">
        <v>10540.82</v>
      </c>
      <c r="L728" s="1">
        <v>697299</v>
      </c>
      <c r="M728" s="1">
        <v>8759</v>
      </c>
      <c r="N728" s="1">
        <v>853</v>
      </c>
      <c r="O728" s="1">
        <v>9922.07</v>
      </c>
      <c r="P728" s="8">
        <f t="shared" si="55"/>
        <v>1.2561325916142143</v>
      </c>
      <c r="Q728" s="10">
        <f t="shared" si="56"/>
        <v>1.1327857061308368</v>
      </c>
      <c r="R728" s="12">
        <f t="shared" si="57"/>
        <v>11.631969519343492</v>
      </c>
      <c r="S728" s="2">
        <f t="shared" si="58"/>
        <v>1.0623609791102058</v>
      </c>
      <c r="T728" s="18" t="str">
        <f t="shared" si="59"/>
        <v>🔴 Low</v>
      </c>
    </row>
    <row r="729" spans="1:20" x14ac:dyDescent="0.3">
      <c r="A729" s="17">
        <v>728</v>
      </c>
      <c r="B729" s="3" t="s">
        <v>72</v>
      </c>
      <c r="C729" s="3" t="s">
        <v>36</v>
      </c>
      <c r="D729" s="3" t="s">
        <v>22</v>
      </c>
      <c r="E729" s="3" t="s">
        <v>23</v>
      </c>
      <c r="F729" s="3" t="s">
        <v>31</v>
      </c>
      <c r="G729" s="3" t="s">
        <v>50</v>
      </c>
      <c r="H729" s="3" t="s">
        <v>83</v>
      </c>
      <c r="I729" s="3" t="s">
        <v>38</v>
      </c>
      <c r="J729" s="6">
        <v>2024</v>
      </c>
      <c r="K729" s="3">
        <v>8303.2199999999993</v>
      </c>
      <c r="L729" s="3">
        <v>647349</v>
      </c>
      <c r="M729" s="3">
        <v>26886</v>
      </c>
      <c r="N729" s="3">
        <v>454</v>
      </c>
      <c r="O729" s="3">
        <v>6196.7</v>
      </c>
      <c r="P729" s="9">
        <f t="shared" si="55"/>
        <v>4.1532465486159706</v>
      </c>
      <c r="Q729" s="11">
        <f t="shared" si="56"/>
        <v>0.23048054749683849</v>
      </c>
      <c r="R729" s="13">
        <f t="shared" si="57"/>
        <v>13.649118942731278</v>
      </c>
      <c r="S729" s="4">
        <f t="shared" si="58"/>
        <v>1.3399422273145383</v>
      </c>
      <c r="T729" s="19" t="str">
        <f t="shared" si="59"/>
        <v>🟢 High</v>
      </c>
    </row>
    <row r="730" spans="1:20" x14ac:dyDescent="0.3">
      <c r="A730" s="16">
        <v>729</v>
      </c>
      <c r="B730" s="1" t="s">
        <v>85</v>
      </c>
      <c r="C730" s="1" t="s">
        <v>40</v>
      </c>
      <c r="D730" s="1" t="s">
        <v>41</v>
      </c>
      <c r="E730" s="1" t="s">
        <v>23</v>
      </c>
      <c r="F730" s="1" t="s">
        <v>31</v>
      </c>
      <c r="G730" s="1" t="s">
        <v>25</v>
      </c>
      <c r="H730" s="1" t="s">
        <v>54</v>
      </c>
      <c r="I730" s="1" t="s">
        <v>45</v>
      </c>
      <c r="J730" s="5">
        <v>2023</v>
      </c>
      <c r="K730" s="1">
        <v>17462.25</v>
      </c>
      <c r="L730" s="1">
        <v>604672</v>
      </c>
      <c r="M730" s="1">
        <v>10718</v>
      </c>
      <c r="N730" s="1">
        <v>670</v>
      </c>
      <c r="O730" s="1">
        <v>14129.2</v>
      </c>
      <c r="P730" s="8">
        <f t="shared" si="55"/>
        <v>1.7725312235393735</v>
      </c>
      <c r="Q730" s="10">
        <f t="shared" si="56"/>
        <v>1.3182683336443366</v>
      </c>
      <c r="R730" s="12">
        <f t="shared" si="57"/>
        <v>21.088358208955224</v>
      </c>
      <c r="S730" s="2">
        <f t="shared" si="58"/>
        <v>1.235897998471251</v>
      </c>
      <c r="T730" s="18" t="str">
        <f t="shared" si="59"/>
        <v>🟡 Mid</v>
      </c>
    </row>
    <row r="731" spans="1:20" x14ac:dyDescent="0.3">
      <c r="A731" s="17">
        <v>730</v>
      </c>
      <c r="B731" s="3" t="s">
        <v>94</v>
      </c>
      <c r="C731" s="3" t="s">
        <v>36</v>
      </c>
      <c r="D731" s="3" t="s">
        <v>29</v>
      </c>
      <c r="E731" s="3" t="s">
        <v>56</v>
      </c>
      <c r="F731" s="3" t="s">
        <v>24</v>
      </c>
      <c r="G731" s="3" t="s">
        <v>50</v>
      </c>
      <c r="H731" s="3" t="s">
        <v>58</v>
      </c>
      <c r="I731" s="3" t="s">
        <v>27</v>
      </c>
      <c r="J731" s="6">
        <v>2024</v>
      </c>
      <c r="K731" s="3">
        <v>13421.52</v>
      </c>
      <c r="L731" s="3">
        <v>257603</v>
      </c>
      <c r="M731" s="3">
        <v>5216</v>
      </c>
      <c r="N731" s="3">
        <v>90</v>
      </c>
      <c r="O731" s="3">
        <v>9013.65</v>
      </c>
      <c r="P731" s="9">
        <f t="shared" si="55"/>
        <v>2.024821139505363</v>
      </c>
      <c r="Q731" s="11">
        <f t="shared" si="56"/>
        <v>1.7280770705521471</v>
      </c>
      <c r="R731" s="13">
        <f t="shared" si="57"/>
        <v>100.15166666666666</v>
      </c>
      <c r="S731" s="4">
        <f t="shared" si="58"/>
        <v>1.4890216504967466</v>
      </c>
      <c r="T731" s="19" t="str">
        <f t="shared" si="59"/>
        <v>🟡 Mid</v>
      </c>
    </row>
    <row r="732" spans="1:20" x14ac:dyDescent="0.3">
      <c r="A732" s="16">
        <v>731</v>
      </c>
      <c r="B732" s="1" t="s">
        <v>103</v>
      </c>
      <c r="C732" s="1" t="s">
        <v>21</v>
      </c>
      <c r="D732" s="1" t="s">
        <v>22</v>
      </c>
      <c r="E732" s="1" t="s">
        <v>56</v>
      </c>
      <c r="F732" s="1" t="s">
        <v>31</v>
      </c>
      <c r="G732" s="1" t="s">
        <v>57</v>
      </c>
      <c r="H732" s="1" t="s">
        <v>26</v>
      </c>
      <c r="I732" s="1" t="s">
        <v>27</v>
      </c>
      <c r="J732" s="5">
        <v>2024</v>
      </c>
      <c r="K732" s="1">
        <v>18101.650000000001</v>
      </c>
      <c r="L732" s="1">
        <v>298976</v>
      </c>
      <c r="M732" s="1">
        <v>2306</v>
      </c>
      <c r="N732" s="1">
        <v>28</v>
      </c>
      <c r="O732" s="1">
        <v>17684.490000000002</v>
      </c>
      <c r="P732" s="8">
        <f t="shared" si="55"/>
        <v>0.77129936851118486</v>
      </c>
      <c r="Q732" s="10">
        <f t="shared" si="56"/>
        <v>7.6689028620988733</v>
      </c>
      <c r="R732" s="12">
        <f t="shared" si="57"/>
        <v>631.5889285714286</v>
      </c>
      <c r="S732" s="2">
        <f t="shared" si="58"/>
        <v>1.0235890319709531</v>
      </c>
      <c r="T732" s="18" t="str">
        <f t="shared" si="59"/>
        <v>🔴 Low</v>
      </c>
    </row>
    <row r="733" spans="1:20" x14ac:dyDescent="0.3">
      <c r="A733" s="17">
        <v>732</v>
      </c>
      <c r="B733" s="3" t="s">
        <v>55</v>
      </c>
      <c r="C733" s="3" t="s">
        <v>36</v>
      </c>
      <c r="D733" s="3" t="s">
        <v>29</v>
      </c>
      <c r="E733" s="3" t="s">
        <v>56</v>
      </c>
      <c r="F733" s="3" t="s">
        <v>24</v>
      </c>
      <c r="G733" s="3" t="s">
        <v>43</v>
      </c>
      <c r="H733" s="3" t="s">
        <v>83</v>
      </c>
      <c r="I733" s="3" t="s">
        <v>38</v>
      </c>
      <c r="J733" s="6">
        <v>2023</v>
      </c>
      <c r="K733" s="3">
        <v>13057.74</v>
      </c>
      <c r="L733" s="3">
        <v>400323</v>
      </c>
      <c r="M733" s="3">
        <v>12727</v>
      </c>
      <c r="N733" s="3">
        <v>474</v>
      </c>
      <c r="O733" s="3">
        <v>11909.27</v>
      </c>
      <c r="P733" s="9">
        <f t="shared" si="55"/>
        <v>3.1791828098810213</v>
      </c>
      <c r="Q733" s="11">
        <f t="shared" si="56"/>
        <v>0.9357484088944763</v>
      </c>
      <c r="R733" s="13">
        <f t="shared" si="57"/>
        <v>25.125042194092828</v>
      </c>
      <c r="S733" s="4">
        <f t="shared" si="58"/>
        <v>1.0964349620085865</v>
      </c>
      <c r="T733" s="19" t="str">
        <f t="shared" si="59"/>
        <v>🟢 High</v>
      </c>
    </row>
    <row r="734" spans="1:20" x14ac:dyDescent="0.3">
      <c r="A734" s="16">
        <v>733</v>
      </c>
      <c r="B734" s="1" t="s">
        <v>90</v>
      </c>
      <c r="C734" s="1" t="s">
        <v>21</v>
      </c>
      <c r="D734" s="1" t="s">
        <v>29</v>
      </c>
      <c r="E734" s="1" t="s">
        <v>56</v>
      </c>
      <c r="F734" s="1" t="s">
        <v>24</v>
      </c>
      <c r="G734" s="1" t="s">
        <v>25</v>
      </c>
      <c r="H734" s="1" t="s">
        <v>52</v>
      </c>
      <c r="I734" s="1" t="s">
        <v>38</v>
      </c>
      <c r="J734" s="5">
        <v>2023</v>
      </c>
      <c r="K734" s="1">
        <v>6174.04</v>
      </c>
      <c r="L734" s="1">
        <v>121793</v>
      </c>
      <c r="M734" s="1">
        <v>1700</v>
      </c>
      <c r="N734" s="1">
        <v>64</v>
      </c>
      <c r="O734" s="1">
        <v>5635.29</v>
      </c>
      <c r="P734" s="8">
        <f t="shared" si="55"/>
        <v>1.3958109250942172</v>
      </c>
      <c r="Q734" s="10">
        <f t="shared" si="56"/>
        <v>3.3148764705882354</v>
      </c>
      <c r="R734" s="12">
        <f t="shared" si="57"/>
        <v>88.051406249999999</v>
      </c>
      <c r="S734" s="2">
        <f t="shared" si="58"/>
        <v>1.0956028882275801</v>
      </c>
      <c r="T734" s="18" t="str">
        <f t="shared" si="59"/>
        <v>🔴 Low</v>
      </c>
    </row>
    <row r="735" spans="1:20" x14ac:dyDescent="0.3">
      <c r="A735" s="17">
        <v>734</v>
      </c>
      <c r="B735" s="3" t="s">
        <v>99</v>
      </c>
      <c r="C735" s="3" t="s">
        <v>36</v>
      </c>
      <c r="D735" s="3" t="s">
        <v>46</v>
      </c>
      <c r="E735" s="3" t="s">
        <v>23</v>
      </c>
      <c r="F735" s="3" t="s">
        <v>47</v>
      </c>
      <c r="G735" s="3" t="s">
        <v>32</v>
      </c>
      <c r="H735" s="3" t="s">
        <v>54</v>
      </c>
      <c r="I735" s="3" t="s">
        <v>45</v>
      </c>
      <c r="J735" s="6">
        <v>2023</v>
      </c>
      <c r="K735" s="3">
        <v>6560.58</v>
      </c>
      <c r="L735" s="3">
        <v>623722</v>
      </c>
      <c r="M735" s="3">
        <v>20185</v>
      </c>
      <c r="N735" s="3">
        <v>1456</v>
      </c>
      <c r="O735" s="3">
        <v>6270.54</v>
      </c>
      <c r="P735" s="9">
        <f t="shared" si="55"/>
        <v>3.2362174173750486</v>
      </c>
      <c r="Q735" s="11">
        <f t="shared" si="56"/>
        <v>0.31065345553628931</v>
      </c>
      <c r="R735" s="13">
        <f t="shared" si="57"/>
        <v>4.3066895604395601</v>
      </c>
      <c r="S735" s="4">
        <f t="shared" si="58"/>
        <v>1.0462543895741037</v>
      </c>
      <c r="T735" s="19" t="str">
        <f t="shared" si="59"/>
        <v>🟢 High</v>
      </c>
    </row>
    <row r="736" spans="1:20" x14ac:dyDescent="0.3">
      <c r="A736" s="16">
        <v>735</v>
      </c>
      <c r="B736" s="1" t="s">
        <v>100</v>
      </c>
      <c r="C736" s="1" t="s">
        <v>40</v>
      </c>
      <c r="D736" s="1" t="s">
        <v>13</v>
      </c>
      <c r="E736" s="1" t="s">
        <v>30</v>
      </c>
      <c r="F736" s="1" t="s">
        <v>31</v>
      </c>
      <c r="G736" s="1" t="s">
        <v>32</v>
      </c>
      <c r="H736" s="1" t="s">
        <v>79</v>
      </c>
      <c r="I736" s="1" t="s">
        <v>45</v>
      </c>
      <c r="J736" s="5">
        <v>2023</v>
      </c>
      <c r="K736" s="1">
        <v>2578.4299999999998</v>
      </c>
      <c r="L736" s="1">
        <v>14634</v>
      </c>
      <c r="M736" s="1">
        <v>155</v>
      </c>
      <c r="N736" s="1">
        <v>9</v>
      </c>
      <c r="O736" s="1">
        <v>2568.15</v>
      </c>
      <c r="P736" s="8">
        <f t="shared" si="55"/>
        <v>1.0591772584392511</v>
      </c>
      <c r="Q736" s="10">
        <f t="shared" si="56"/>
        <v>16.568709677419356</v>
      </c>
      <c r="R736" s="12">
        <f t="shared" si="57"/>
        <v>285.35000000000002</v>
      </c>
      <c r="S736" s="2">
        <f t="shared" si="58"/>
        <v>1.0040028814516284</v>
      </c>
      <c r="T736" s="18" t="str">
        <f t="shared" si="59"/>
        <v>🔴 Low</v>
      </c>
    </row>
    <row r="737" spans="1:20" x14ac:dyDescent="0.3">
      <c r="A737" s="17">
        <v>736</v>
      </c>
      <c r="B737" s="3" t="s">
        <v>89</v>
      </c>
      <c r="C737" s="3" t="s">
        <v>36</v>
      </c>
      <c r="D737" s="3" t="s">
        <v>41</v>
      </c>
      <c r="E737" s="3" t="s">
        <v>30</v>
      </c>
      <c r="F737" s="3" t="s">
        <v>31</v>
      </c>
      <c r="G737" s="3" t="s">
        <v>43</v>
      </c>
      <c r="H737" s="3" t="s">
        <v>26</v>
      </c>
      <c r="I737" s="3" t="s">
        <v>27</v>
      </c>
      <c r="J737" s="6">
        <v>2023</v>
      </c>
      <c r="K737" s="3">
        <v>12178.17</v>
      </c>
      <c r="L737" s="3">
        <v>328896</v>
      </c>
      <c r="M737" s="3">
        <v>8773</v>
      </c>
      <c r="N737" s="3">
        <v>878</v>
      </c>
      <c r="O737" s="3">
        <v>10828.97</v>
      </c>
      <c r="P737" s="9">
        <f t="shared" si="55"/>
        <v>2.6674085425179994</v>
      </c>
      <c r="Q737" s="11">
        <f t="shared" si="56"/>
        <v>1.2343519890573349</v>
      </c>
      <c r="R737" s="13">
        <f t="shared" si="57"/>
        <v>12.333678815489749</v>
      </c>
      <c r="S737" s="4">
        <f t="shared" si="58"/>
        <v>1.1245917201728328</v>
      </c>
      <c r="T737" s="19" t="str">
        <f t="shared" si="59"/>
        <v>🟡 Mid</v>
      </c>
    </row>
    <row r="738" spans="1:20" x14ac:dyDescent="0.3">
      <c r="A738" s="16">
        <v>737</v>
      </c>
      <c r="B738" s="1" t="s">
        <v>66</v>
      </c>
      <c r="C738" s="1" t="s">
        <v>40</v>
      </c>
      <c r="D738" s="1" t="s">
        <v>46</v>
      </c>
      <c r="E738" s="1" t="s">
        <v>56</v>
      </c>
      <c r="F738" s="1" t="s">
        <v>47</v>
      </c>
      <c r="G738" s="1" t="s">
        <v>50</v>
      </c>
      <c r="H738" s="1" t="s">
        <v>68</v>
      </c>
      <c r="I738" s="1" t="s">
        <v>27</v>
      </c>
      <c r="J738" s="5">
        <v>2024</v>
      </c>
      <c r="K738" s="1">
        <v>3477.69</v>
      </c>
      <c r="L738" s="1">
        <v>756583</v>
      </c>
      <c r="M738" s="1">
        <v>13610</v>
      </c>
      <c r="N738" s="1">
        <v>1206</v>
      </c>
      <c r="O738" s="1">
        <v>3109.65</v>
      </c>
      <c r="P738" s="8">
        <f t="shared" si="55"/>
        <v>1.7988773207962643</v>
      </c>
      <c r="Q738" s="10">
        <f t="shared" si="56"/>
        <v>0.22848273328434976</v>
      </c>
      <c r="R738" s="12">
        <f t="shared" si="57"/>
        <v>2.5784825870646766</v>
      </c>
      <c r="S738" s="2">
        <f t="shared" si="58"/>
        <v>1.118354155612368</v>
      </c>
      <c r="T738" s="18" t="str">
        <f t="shared" si="59"/>
        <v>🟡 Mid</v>
      </c>
    </row>
    <row r="739" spans="1:20" x14ac:dyDescent="0.3">
      <c r="A739" s="17">
        <v>738</v>
      </c>
      <c r="B739" s="3" t="s">
        <v>65</v>
      </c>
      <c r="C739" s="3" t="s">
        <v>36</v>
      </c>
      <c r="D739" s="3" t="s">
        <v>41</v>
      </c>
      <c r="E739" s="3" t="s">
        <v>56</v>
      </c>
      <c r="F739" s="3" t="s">
        <v>47</v>
      </c>
      <c r="G739" s="3" t="s">
        <v>25</v>
      </c>
      <c r="H739" s="3" t="s">
        <v>68</v>
      </c>
      <c r="I739" s="3" t="s">
        <v>27</v>
      </c>
      <c r="J739" s="6">
        <v>2024</v>
      </c>
      <c r="K739" s="3">
        <v>7079.5</v>
      </c>
      <c r="L739" s="3">
        <v>715828</v>
      </c>
      <c r="M739" s="3">
        <v>25679</v>
      </c>
      <c r="N739" s="3">
        <v>2513</v>
      </c>
      <c r="O739" s="3">
        <v>5283.35</v>
      </c>
      <c r="P739" s="9">
        <f t="shared" si="55"/>
        <v>3.5873142710260009</v>
      </c>
      <c r="Q739" s="11">
        <f t="shared" si="56"/>
        <v>0.20574594026247128</v>
      </c>
      <c r="R739" s="13">
        <f t="shared" si="57"/>
        <v>2.1024074810982891</v>
      </c>
      <c r="S739" s="4">
        <f t="shared" si="58"/>
        <v>1.3399642272421852</v>
      </c>
      <c r="T739" s="19" t="str">
        <f t="shared" si="59"/>
        <v>🟢 High</v>
      </c>
    </row>
    <row r="740" spans="1:20" x14ac:dyDescent="0.3">
      <c r="A740" s="16">
        <v>739</v>
      </c>
      <c r="B740" s="1" t="s">
        <v>80</v>
      </c>
      <c r="C740" s="1" t="s">
        <v>40</v>
      </c>
      <c r="D740" s="1" t="s">
        <v>22</v>
      </c>
      <c r="E740" s="1" t="s">
        <v>61</v>
      </c>
      <c r="F740" s="1" t="s">
        <v>31</v>
      </c>
      <c r="G740" s="1" t="s">
        <v>43</v>
      </c>
      <c r="H740" s="1" t="s">
        <v>52</v>
      </c>
      <c r="I740" s="1" t="s">
        <v>38</v>
      </c>
      <c r="J740" s="5">
        <v>2023</v>
      </c>
      <c r="K740" s="1">
        <v>14171.62</v>
      </c>
      <c r="L740" s="1">
        <v>579630</v>
      </c>
      <c r="M740" s="1">
        <v>8068</v>
      </c>
      <c r="N740" s="1">
        <v>131</v>
      </c>
      <c r="O740" s="1">
        <v>11957.46</v>
      </c>
      <c r="P740" s="8">
        <f t="shared" si="55"/>
        <v>1.3919224332764004</v>
      </c>
      <c r="Q740" s="10">
        <f t="shared" si="56"/>
        <v>1.4820847793753098</v>
      </c>
      <c r="R740" s="12">
        <f t="shared" si="57"/>
        <v>91.278320610687018</v>
      </c>
      <c r="S740" s="2">
        <f t="shared" si="58"/>
        <v>1.1851697601330049</v>
      </c>
      <c r="T740" s="18" t="str">
        <f t="shared" si="59"/>
        <v>🔴 Low</v>
      </c>
    </row>
    <row r="741" spans="1:20" x14ac:dyDescent="0.3">
      <c r="A741" s="17">
        <v>740</v>
      </c>
      <c r="B741" s="3" t="s">
        <v>94</v>
      </c>
      <c r="C741" s="3" t="s">
        <v>36</v>
      </c>
      <c r="D741" s="3" t="s">
        <v>41</v>
      </c>
      <c r="E741" s="3" t="s">
        <v>30</v>
      </c>
      <c r="F741" s="3" t="s">
        <v>31</v>
      </c>
      <c r="G741" s="3" t="s">
        <v>25</v>
      </c>
      <c r="H741" s="3" t="s">
        <v>48</v>
      </c>
      <c r="I741" s="3" t="s">
        <v>34</v>
      </c>
      <c r="J741" s="6">
        <v>2024</v>
      </c>
      <c r="K741" s="3">
        <v>6176.09</v>
      </c>
      <c r="L741" s="3">
        <v>156857</v>
      </c>
      <c r="M741" s="3">
        <v>4649</v>
      </c>
      <c r="N741" s="3">
        <v>356</v>
      </c>
      <c r="O741" s="3">
        <v>5792.13</v>
      </c>
      <c r="P741" s="9">
        <f t="shared" si="55"/>
        <v>2.9638460508616129</v>
      </c>
      <c r="Q741" s="11">
        <f t="shared" si="56"/>
        <v>1.2458872875887288</v>
      </c>
      <c r="R741" s="13">
        <f t="shared" si="57"/>
        <v>16.270028089887642</v>
      </c>
      <c r="S741" s="4">
        <f t="shared" si="58"/>
        <v>1.0662899486026729</v>
      </c>
      <c r="T741" s="19" t="str">
        <f t="shared" si="59"/>
        <v>🟡 Mid</v>
      </c>
    </row>
    <row r="742" spans="1:20" x14ac:dyDescent="0.3">
      <c r="A742" s="16">
        <v>741</v>
      </c>
      <c r="B742" s="1" t="s">
        <v>91</v>
      </c>
      <c r="C742" s="1" t="s">
        <v>36</v>
      </c>
      <c r="D742" s="1" t="s">
        <v>13</v>
      </c>
      <c r="E742" s="1" t="s">
        <v>61</v>
      </c>
      <c r="F742" s="1" t="s">
        <v>24</v>
      </c>
      <c r="G742" s="1" t="s">
        <v>25</v>
      </c>
      <c r="H742" s="1" t="s">
        <v>33</v>
      </c>
      <c r="I742" s="1" t="s">
        <v>34</v>
      </c>
      <c r="J742" s="5">
        <v>2024</v>
      </c>
      <c r="K742" s="1">
        <v>13749.18</v>
      </c>
      <c r="L742" s="1">
        <v>181394</v>
      </c>
      <c r="M742" s="1">
        <v>5443</v>
      </c>
      <c r="N742" s="1">
        <v>643</v>
      </c>
      <c r="O742" s="1">
        <v>9286.83</v>
      </c>
      <c r="P742" s="8">
        <f t="shared" si="55"/>
        <v>3.0006505176576952</v>
      </c>
      <c r="Q742" s="10">
        <f t="shared" si="56"/>
        <v>1.7061969502112806</v>
      </c>
      <c r="R742" s="12">
        <f t="shared" si="57"/>
        <v>14.442970451010886</v>
      </c>
      <c r="S742" s="2">
        <f t="shared" si="58"/>
        <v>1.4805030349430324</v>
      </c>
      <c r="T742" s="18" t="str">
        <f t="shared" si="59"/>
        <v>🟢 High</v>
      </c>
    </row>
    <row r="743" spans="1:20" x14ac:dyDescent="0.3">
      <c r="A743" s="17">
        <v>742</v>
      </c>
      <c r="B743" s="3" t="s">
        <v>70</v>
      </c>
      <c r="C743" s="3" t="s">
        <v>36</v>
      </c>
      <c r="D743" s="3" t="s">
        <v>29</v>
      </c>
      <c r="E743" s="3" t="s">
        <v>23</v>
      </c>
      <c r="F743" s="3" t="s">
        <v>31</v>
      </c>
      <c r="G743" s="3" t="s">
        <v>50</v>
      </c>
      <c r="H743" s="3" t="s">
        <v>26</v>
      </c>
      <c r="I743" s="3" t="s">
        <v>27</v>
      </c>
      <c r="J743" s="6">
        <v>2024</v>
      </c>
      <c r="K743" s="3">
        <v>5277.52</v>
      </c>
      <c r="L743" s="3">
        <v>129573</v>
      </c>
      <c r="M743" s="3">
        <v>3497</v>
      </c>
      <c r="N743" s="3">
        <v>60</v>
      </c>
      <c r="O743" s="3">
        <v>4249.58</v>
      </c>
      <c r="P743" s="9">
        <f t="shared" si="55"/>
        <v>2.6988647326217654</v>
      </c>
      <c r="Q743" s="11">
        <f t="shared" si="56"/>
        <v>1.2152073205604803</v>
      </c>
      <c r="R743" s="13">
        <f t="shared" si="57"/>
        <v>70.826333333333338</v>
      </c>
      <c r="S743" s="4">
        <f t="shared" si="58"/>
        <v>1.2418921399291225</v>
      </c>
      <c r="T743" s="19" t="str">
        <f t="shared" si="59"/>
        <v>🟡 Mid</v>
      </c>
    </row>
    <row r="744" spans="1:20" x14ac:dyDescent="0.3">
      <c r="A744" s="16">
        <v>743</v>
      </c>
      <c r="B744" s="1" t="s">
        <v>49</v>
      </c>
      <c r="C744" s="1" t="s">
        <v>21</v>
      </c>
      <c r="D744" s="1" t="s">
        <v>41</v>
      </c>
      <c r="E744" s="1" t="s">
        <v>42</v>
      </c>
      <c r="F744" s="1" t="s">
        <v>47</v>
      </c>
      <c r="G744" s="1" t="s">
        <v>50</v>
      </c>
      <c r="H744" s="1" t="s">
        <v>52</v>
      </c>
      <c r="I744" s="1" t="s">
        <v>38</v>
      </c>
      <c r="J744" s="5">
        <v>2024</v>
      </c>
      <c r="K744" s="1">
        <v>7662.8</v>
      </c>
      <c r="L744" s="1">
        <v>130829</v>
      </c>
      <c r="M744" s="1">
        <v>1163</v>
      </c>
      <c r="N744" s="1">
        <v>129</v>
      </c>
      <c r="O744" s="1">
        <v>7521.51</v>
      </c>
      <c r="P744" s="8">
        <f t="shared" si="55"/>
        <v>0.88894664027088788</v>
      </c>
      <c r="Q744" s="10">
        <f t="shared" si="56"/>
        <v>6.467334479793637</v>
      </c>
      <c r="R744" s="12">
        <f t="shared" si="57"/>
        <v>58.306279069767442</v>
      </c>
      <c r="S744" s="2">
        <f t="shared" si="58"/>
        <v>1.0187847918835446</v>
      </c>
      <c r="T744" s="18" t="str">
        <f t="shared" si="59"/>
        <v>🔴 Low</v>
      </c>
    </row>
    <row r="745" spans="1:20" x14ac:dyDescent="0.3">
      <c r="A745" s="17">
        <v>744</v>
      </c>
      <c r="B745" s="3" t="s">
        <v>98</v>
      </c>
      <c r="C745" s="3" t="s">
        <v>36</v>
      </c>
      <c r="D745" s="3" t="s">
        <v>29</v>
      </c>
      <c r="E745" s="3" t="s">
        <v>61</v>
      </c>
      <c r="F745" s="3" t="s">
        <v>31</v>
      </c>
      <c r="G745" s="3" t="s">
        <v>50</v>
      </c>
      <c r="H745" s="3" t="s">
        <v>52</v>
      </c>
      <c r="I745" s="3" t="s">
        <v>38</v>
      </c>
      <c r="J745" s="6">
        <v>2023</v>
      </c>
      <c r="K745" s="3">
        <v>15989.7</v>
      </c>
      <c r="L745" s="3">
        <v>194893</v>
      </c>
      <c r="M745" s="3">
        <v>5789</v>
      </c>
      <c r="N745" s="3">
        <v>124</v>
      </c>
      <c r="O745" s="3">
        <v>16309.19</v>
      </c>
      <c r="P745" s="9">
        <f t="shared" si="55"/>
        <v>2.9703478318872407</v>
      </c>
      <c r="Q745" s="11">
        <f t="shared" si="56"/>
        <v>2.8172724131974434</v>
      </c>
      <c r="R745" s="13">
        <f t="shared" si="57"/>
        <v>131.52572580645162</v>
      </c>
      <c r="S745" s="4">
        <f t="shared" si="58"/>
        <v>0.98041043117408044</v>
      </c>
      <c r="T745" s="19" t="str">
        <f t="shared" si="59"/>
        <v>🟡 Mid</v>
      </c>
    </row>
    <row r="746" spans="1:20" x14ac:dyDescent="0.3">
      <c r="A746" s="16">
        <v>745</v>
      </c>
      <c r="B746" s="1" t="s">
        <v>90</v>
      </c>
      <c r="C746" s="1" t="s">
        <v>21</v>
      </c>
      <c r="D746" s="1" t="s">
        <v>13</v>
      </c>
      <c r="E746" s="1" t="s">
        <v>61</v>
      </c>
      <c r="F746" s="1" t="s">
        <v>24</v>
      </c>
      <c r="G746" s="1" t="s">
        <v>57</v>
      </c>
      <c r="H746" s="1" t="s">
        <v>37</v>
      </c>
      <c r="I746" s="1" t="s">
        <v>38</v>
      </c>
      <c r="J746" s="5">
        <v>2023</v>
      </c>
      <c r="K746" s="1">
        <v>14418.48</v>
      </c>
      <c r="L746" s="1">
        <v>568621</v>
      </c>
      <c r="M746" s="1">
        <v>6050</v>
      </c>
      <c r="N746" s="1">
        <v>310</v>
      </c>
      <c r="O746" s="1">
        <v>12018.46</v>
      </c>
      <c r="P746" s="8">
        <f t="shared" si="55"/>
        <v>1.0639775878836695</v>
      </c>
      <c r="Q746" s="10">
        <f t="shared" si="56"/>
        <v>1.9865223140495867</v>
      </c>
      <c r="R746" s="12">
        <f t="shared" si="57"/>
        <v>38.769225806451608</v>
      </c>
      <c r="S746" s="2">
        <f t="shared" si="58"/>
        <v>1.1996944700069727</v>
      </c>
      <c r="T746" s="18" t="str">
        <f t="shared" si="59"/>
        <v>🔴 Low</v>
      </c>
    </row>
    <row r="747" spans="1:20" x14ac:dyDescent="0.3">
      <c r="A747" s="17">
        <v>746</v>
      </c>
      <c r="B747" s="3" t="s">
        <v>74</v>
      </c>
      <c r="C747" s="3" t="s">
        <v>21</v>
      </c>
      <c r="D747" s="3" t="s">
        <v>22</v>
      </c>
      <c r="E747" s="3" t="s">
        <v>61</v>
      </c>
      <c r="F747" s="3" t="s">
        <v>31</v>
      </c>
      <c r="G747" s="3" t="s">
        <v>32</v>
      </c>
      <c r="H747" s="3" t="s">
        <v>54</v>
      </c>
      <c r="I747" s="3" t="s">
        <v>45</v>
      </c>
      <c r="J747" s="6">
        <v>2023</v>
      </c>
      <c r="K747" s="3">
        <v>15193.41</v>
      </c>
      <c r="L747" s="3">
        <v>222541</v>
      </c>
      <c r="M747" s="3">
        <v>3426</v>
      </c>
      <c r="N747" s="3">
        <v>66</v>
      </c>
      <c r="O747" s="3">
        <v>14843.85</v>
      </c>
      <c r="P747" s="9">
        <f t="shared" si="55"/>
        <v>1.5394915993008029</v>
      </c>
      <c r="Q747" s="11">
        <f t="shared" si="56"/>
        <v>4.3327057793345007</v>
      </c>
      <c r="R747" s="13">
        <f t="shared" si="57"/>
        <v>224.90681818181818</v>
      </c>
      <c r="S747" s="4">
        <f t="shared" si="58"/>
        <v>1.0235491466162754</v>
      </c>
      <c r="T747" s="19" t="str">
        <f t="shared" si="59"/>
        <v>🟡 Mid</v>
      </c>
    </row>
    <row r="748" spans="1:20" x14ac:dyDescent="0.3">
      <c r="A748" s="16">
        <v>747</v>
      </c>
      <c r="B748" s="1" t="s">
        <v>55</v>
      </c>
      <c r="C748" s="1" t="s">
        <v>36</v>
      </c>
      <c r="D748" s="1" t="s">
        <v>22</v>
      </c>
      <c r="E748" s="1" t="s">
        <v>61</v>
      </c>
      <c r="F748" s="1" t="s">
        <v>47</v>
      </c>
      <c r="G748" s="1" t="s">
        <v>43</v>
      </c>
      <c r="H748" s="1" t="s">
        <v>58</v>
      </c>
      <c r="I748" s="1" t="s">
        <v>27</v>
      </c>
      <c r="J748" s="5">
        <v>2023</v>
      </c>
      <c r="K748" s="1">
        <v>3011.91</v>
      </c>
      <c r="L748" s="1">
        <v>221247</v>
      </c>
      <c r="M748" s="1">
        <v>5922</v>
      </c>
      <c r="N748" s="1">
        <v>52</v>
      </c>
      <c r="O748" s="1">
        <v>2759.78</v>
      </c>
      <c r="P748" s="8">
        <f t="shared" si="55"/>
        <v>2.6766464630028883</v>
      </c>
      <c r="Q748" s="10">
        <f t="shared" si="56"/>
        <v>0.46602161431948669</v>
      </c>
      <c r="R748" s="12">
        <f t="shared" si="57"/>
        <v>53.072692307692314</v>
      </c>
      <c r="S748" s="2">
        <f t="shared" si="58"/>
        <v>1.0913587314930899</v>
      </c>
      <c r="T748" s="18" t="str">
        <f t="shared" si="59"/>
        <v>🟡 Mid</v>
      </c>
    </row>
    <row r="749" spans="1:20" x14ac:dyDescent="0.3">
      <c r="A749" s="17">
        <v>748</v>
      </c>
      <c r="B749" s="3" t="s">
        <v>70</v>
      </c>
      <c r="C749" s="3" t="s">
        <v>36</v>
      </c>
      <c r="D749" s="3" t="s">
        <v>29</v>
      </c>
      <c r="E749" s="3" t="s">
        <v>23</v>
      </c>
      <c r="F749" s="3" t="s">
        <v>47</v>
      </c>
      <c r="G749" s="3" t="s">
        <v>32</v>
      </c>
      <c r="H749" s="3" t="s">
        <v>26</v>
      </c>
      <c r="I749" s="3" t="s">
        <v>27</v>
      </c>
      <c r="J749" s="6">
        <v>2024</v>
      </c>
      <c r="K749" s="3">
        <v>19553.509999999998</v>
      </c>
      <c r="L749" s="3">
        <v>695130</v>
      </c>
      <c r="M749" s="3">
        <v>18243</v>
      </c>
      <c r="N749" s="3">
        <v>182</v>
      </c>
      <c r="O749" s="3">
        <v>14200.78</v>
      </c>
      <c r="P749" s="9">
        <f t="shared" si="55"/>
        <v>2.6244011911441025</v>
      </c>
      <c r="Q749" s="11">
        <f t="shared" si="56"/>
        <v>0.77842350490599133</v>
      </c>
      <c r="R749" s="13">
        <f t="shared" si="57"/>
        <v>78.026263736263743</v>
      </c>
      <c r="S749" s="4">
        <f t="shared" si="58"/>
        <v>1.3769321121797533</v>
      </c>
      <c r="T749" s="19" t="str">
        <f t="shared" si="59"/>
        <v>🟡 Mid</v>
      </c>
    </row>
    <row r="750" spans="1:20" x14ac:dyDescent="0.3">
      <c r="A750" s="16">
        <v>749</v>
      </c>
      <c r="B750" s="1" t="s">
        <v>59</v>
      </c>
      <c r="C750" s="1" t="s">
        <v>21</v>
      </c>
      <c r="D750" s="1" t="s">
        <v>29</v>
      </c>
      <c r="E750" s="1" t="s">
        <v>56</v>
      </c>
      <c r="F750" s="1" t="s">
        <v>24</v>
      </c>
      <c r="G750" s="1" t="s">
        <v>32</v>
      </c>
      <c r="H750" s="1" t="s">
        <v>48</v>
      </c>
      <c r="I750" s="1" t="s">
        <v>34</v>
      </c>
      <c r="J750" s="5">
        <v>2024</v>
      </c>
      <c r="K750" s="1">
        <v>10691.99</v>
      </c>
      <c r="L750" s="1">
        <v>374221</v>
      </c>
      <c r="M750" s="1">
        <v>862</v>
      </c>
      <c r="N750" s="1">
        <v>26</v>
      </c>
      <c r="O750" s="1">
        <v>9390.77</v>
      </c>
      <c r="P750" s="8">
        <f t="shared" si="55"/>
        <v>0.23034517036724286</v>
      </c>
      <c r="Q750" s="10">
        <f t="shared" si="56"/>
        <v>10.894164733178656</v>
      </c>
      <c r="R750" s="12">
        <f t="shared" si="57"/>
        <v>361.18346153846153</v>
      </c>
      <c r="S750" s="2">
        <f t="shared" si="58"/>
        <v>1.1385637173522511</v>
      </c>
      <c r="T750" s="18" t="str">
        <f t="shared" si="59"/>
        <v>🔴 Low</v>
      </c>
    </row>
    <row r="751" spans="1:20" x14ac:dyDescent="0.3">
      <c r="A751" s="17">
        <v>750</v>
      </c>
      <c r="B751" s="3" t="s">
        <v>93</v>
      </c>
      <c r="C751" s="3" t="s">
        <v>36</v>
      </c>
      <c r="D751" s="3" t="s">
        <v>22</v>
      </c>
      <c r="E751" s="3" t="s">
        <v>30</v>
      </c>
      <c r="F751" s="3" t="s">
        <v>24</v>
      </c>
      <c r="G751" s="3" t="s">
        <v>43</v>
      </c>
      <c r="H751" s="3" t="s">
        <v>83</v>
      </c>
      <c r="I751" s="3" t="s">
        <v>38</v>
      </c>
      <c r="J751" s="6">
        <v>2023</v>
      </c>
      <c r="K751" s="3">
        <v>12241.82</v>
      </c>
      <c r="L751" s="3">
        <v>231534</v>
      </c>
      <c r="M751" s="3">
        <v>5626</v>
      </c>
      <c r="N751" s="3">
        <v>78</v>
      </c>
      <c r="O751" s="3">
        <v>8771.34</v>
      </c>
      <c r="P751" s="9">
        <f t="shared" si="55"/>
        <v>2.4298807086648182</v>
      </c>
      <c r="Q751" s="11">
        <f t="shared" si="56"/>
        <v>1.5590721649484536</v>
      </c>
      <c r="R751" s="13">
        <f t="shared" si="57"/>
        <v>112.45307692307692</v>
      </c>
      <c r="S751" s="4">
        <f t="shared" si="58"/>
        <v>1.3956613242674436</v>
      </c>
      <c r="T751" s="19" t="str">
        <f t="shared" si="59"/>
        <v>🟡 Mid</v>
      </c>
    </row>
    <row r="752" spans="1:20" x14ac:dyDescent="0.3">
      <c r="A752" s="16">
        <v>751</v>
      </c>
      <c r="B752" s="1" t="s">
        <v>90</v>
      </c>
      <c r="C752" s="1" t="s">
        <v>21</v>
      </c>
      <c r="D752" s="1" t="s">
        <v>22</v>
      </c>
      <c r="E752" s="1" t="s">
        <v>61</v>
      </c>
      <c r="F752" s="1" t="s">
        <v>47</v>
      </c>
      <c r="G752" s="1" t="s">
        <v>43</v>
      </c>
      <c r="H752" s="1" t="s">
        <v>33</v>
      </c>
      <c r="I752" s="1" t="s">
        <v>34</v>
      </c>
      <c r="J752" s="5">
        <v>2023</v>
      </c>
      <c r="K752" s="1">
        <v>8301.16</v>
      </c>
      <c r="L752" s="1">
        <v>92298</v>
      </c>
      <c r="M752" s="1">
        <v>1298</v>
      </c>
      <c r="N752" s="1">
        <v>24</v>
      </c>
      <c r="O752" s="1">
        <v>5480.11</v>
      </c>
      <c r="P752" s="8">
        <f t="shared" si="55"/>
        <v>1.4063143296712821</v>
      </c>
      <c r="Q752" s="10">
        <f t="shared" si="56"/>
        <v>4.2219645608628653</v>
      </c>
      <c r="R752" s="12">
        <f t="shared" si="57"/>
        <v>228.33791666666664</v>
      </c>
      <c r="S752" s="2">
        <f t="shared" si="58"/>
        <v>1.5147798128139764</v>
      </c>
      <c r="T752" s="18" t="str">
        <f t="shared" si="59"/>
        <v>🔴 Low</v>
      </c>
    </row>
    <row r="753" spans="1:20" x14ac:dyDescent="0.3">
      <c r="A753" s="17">
        <v>752</v>
      </c>
      <c r="B753" s="3" t="s">
        <v>88</v>
      </c>
      <c r="C753" s="3" t="s">
        <v>36</v>
      </c>
      <c r="D753" s="3" t="s">
        <v>13</v>
      </c>
      <c r="E753" s="3" t="s">
        <v>30</v>
      </c>
      <c r="F753" s="3" t="s">
        <v>31</v>
      </c>
      <c r="G753" s="3" t="s">
        <v>43</v>
      </c>
      <c r="H753" s="3" t="s">
        <v>79</v>
      </c>
      <c r="I753" s="3" t="s">
        <v>45</v>
      </c>
      <c r="J753" s="6">
        <v>2023</v>
      </c>
      <c r="K753" s="3">
        <v>8683.89</v>
      </c>
      <c r="L753" s="3">
        <v>165947</v>
      </c>
      <c r="M753" s="3">
        <v>4222</v>
      </c>
      <c r="N753" s="3">
        <v>304</v>
      </c>
      <c r="O753" s="3">
        <v>8083.57</v>
      </c>
      <c r="P753" s="9">
        <f t="shared" si="55"/>
        <v>2.5441857942596133</v>
      </c>
      <c r="Q753" s="11">
        <f t="shared" si="56"/>
        <v>1.9146305068687826</v>
      </c>
      <c r="R753" s="13">
        <f t="shared" si="57"/>
        <v>26.590690789473683</v>
      </c>
      <c r="S753" s="4">
        <f t="shared" si="58"/>
        <v>1.0742642174187889</v>
      </c>
      <c r="T753" s="19" t="str">
        <f t="shared" si="59"/>
        <v>🟡 Mid</v>
      </c>
    </row>
    <row r="754" spans="1:20" x14ac:dyDescent="0.3">
      <c r="A754" s="16">
        <v>753</v>
      </c>
      <c r="B754" s="1" t="s">
        <v>51</v>
      </c>
      <c r="C754" s="1" t="s">
        <v>40</v>
      </c>
      <c r="D754" s="1" t="s">
        <v>29</v>
      </c>
      <c r="E754" s="1" t="s">
        <v>30</v>
      </c>
      <c r="F754" s="1" t="s">
        <v>24</v>
      </c>
      <c r="G754" s="1" t="s">
        <v>43</v>
      </c>
      <c r="H754" s="1" t="s">
        <v>58</v>
      </c>
      <c r="I754" s="1" t="s">
        <v>27</v>
      </c>
      <c r="J754" s="5">
        <v>2023</v>
      </c>
      <c r="K754" s="1">
        <v>13837.6</v>
      </c>
      <c r="L754" s="1">
        <v>431541</v>
      </c>
      <c r="M754" s="1">
        <v>9728</v>
      </c>
      <c r="N754" s="1">
        <v>203</v>
      </c>
      <c r="O754" s="1">
        <v>10240.89</v>
      </c>
      <c r="P754" s="8">
        <f t="shared" si="55"/>
        <v>2.2542469892779597</v>
      </c>
      <c r="Q754" s="10">
        <f t="shared" si="56"/>
        <v>1.0527230674342105</v>
      </c>
      <c r="R754" s="12">
        <f t="shared" si="57"/>
        <v>50.447733990147782</v>
      </c>
      <c r="S754" s="2">
        <f t="shared" si="58"/>
        <v>1.3512106857900046</v>
      </c>
      <c r="T754" s="18" t="str">
        <f t="shared" si="59"/>
        <v>🟡 Mid</v>
      </c>
    </row>
    <row r="755" spans="1:20" x14ac:dyDescent="0.3">
      <c r="A755" s="17">
        <v>754</v>
      </c>
      <c r="B755" s="3" t="s">
        <v>102</v>
      </c>
      <c r="C755" s="3" t="s">
        <v>40</v>
      </c>
      <c r="D755" s="3" t="s">
        <v>46</v>
      </c>
      <c r="E755" s="3" t="s">
        <v>23</v>
      </c>
      <c r="F755" s="3" t="s">
        <v>24</v>
      </c>
      <c r="G755" s="3" t="s">
        <v>57</v>
      </c>
      <c r="H755" s="3" t="s">
        <v>33</v>
      </c>
      <c r="I755" s="3" t="s">
        <v>34</v>
      </c>
      <c r="J755" s="6">
        <v>2023</v>
      </c>
      <c r="K755" s="3">
        <v>7883.33</v>
      </c>
      <c r="L755" s="3">
        <v>115103</v>
      </c>
      <c r="M755" s="3">
        <v>2172</v>
      </c>
      <c r="N755" s="3">
        <v>188</v>
      </c>
      <c r="O755" s="3">
        <v>5138.92</v>
      </c>
      <c r="P755" s="9">
        <f t="shared" si="55"/>
        <v>1.8870055515494817</v>
      </c>
      <c r="Q755" s="11">
        <f t="shared" si="56"/>
        <v>2.3659852670349908</v>
      </c>
      <c r="R755" s="13">
        <f t="shared" si="57"/>
        <v>27.33468085106383</v>
      </c>
      <c r="S755" s="4">
        <f t="shared" si="58"/>
        <v>1.5340441182193925</v>
      </c>
      <c r="T755" s="19" t="str">
        <f t="shared" si="59"/>
        <v>🟡 Mid</v>
      </c>
    </row>
    <row r="756" spans="1:20" x14ac:dyDescent="0.3">
      <c r="A756" s="16">
        <v>755</v>
      </c>
      <c r="B756" s="1" t="s">
        <v>59</v>
      </c>
      <c r="C756" s="1" t="s">
        <v>21</v>
      </c>
      <c r="D756" s="1" t="s">
        <v>29</v>
      </c>
      <c r="E756" s="1" t="s">
        <v>56</v>
      </c>
      <c r="F756" s="1" t="s">
        <v>24</v>
      </c>
      <c r="G756" s="1" t="s">
        <v>32</v>
      </c>
      <c r="H756" s="1" t="s">
        <v>37</v>
      </c>
      <c r="I756" s="1" t="s">
        <v>38</v>
      </c>
      <c r="J756" s="5">
        <v>2024</v>
      </c>
      <c r="K756" s="1">
        <v>11255.07</v>
      </c>
      <c r="L756" s="1">
        <v>641975</v>
      </c>
      <c r="M756" s="1">
        <v>5311</v>
      </c>
      <c r="N756" s="1">
        <v>103</v>
      </c>
      <c r="O756" s="1">
        <v>10307.24</v>
      </c>
      <c r="P756" s="8">
        <f t="shared" si="55"/>
        <v>0.82729078235133768</v>
      </c>
      <c r="Q756" s="10">
        <f t="shared" si="56"/>
        <v>1.9407343249858784</v>
      </c>
      <c r="R756" s="12">
        <f t="shared" si="57"/>
        <v>100.07029126213592</v>
      </c>
      <c r="S756" s="2">
        <f t="shared" si="58"/>
        <v>1.0919576918748375</v>
      </c>
      <c r="T756" s="18" t="str">
        <f t="shared" si="59"/>
        <v>🔴 Low</v>
      </c>
    </row>
    <row r="757" spans="1:20" x14ac:dyDescent="0.3">
      <c r="A757" s="17">
        <v>756</v>
      </c>
      <c r="B757" s="3" t="s">
        <v>99</v>
      </c>
      <c r="C757" s="3" t="s">
        <v>36</v>
      </c>
      <c r="D757" s="3" t="s">
        <v>29</v>
      </c>
      <c r="E757" s="3" t="s">
        <v>61</v>
      </c>
      <c r="F757" s="3" t="s">
        <v>31</v>
      </c>
      <c r="G757" s="3" t="s">
        <v>50</v>
      </c>
      <c r="H757" s="3" t="s">
        <v>48</v>
      </c>
      <c r="I757" s="3" t="s">
        <v>34</v>
      </c>
      <c r="J757" s="6">
        <v>2023</v>
      </c>
      <c r="K757" s="3">
        <v>5551.69</v>
      </c>
      <c r="L757" s="3">
        <v>725013</v>
      </c>
      <c r="M757" s="3">
        <v>20963</v>
      </c>
      <c r="N757" s="3">
        <v>532</v>
      </c>
      <c r="O757" s="3">
        <v>3693.57</v>
      </c>
      <c r="P757" s="9">
        <f t="shared" si="55"/>
        <v>2.8913964301329771</v>
      </c>
      <c r="Q757" s="11">
        <f t="shared" si="56"/>
        <v>0.17619472403759004</v>
      </c>
      <c r="R757" s="13">
        <f t="shared" si="57"/>
        <v>6.9428007518796999</v>
      </c>
      <c r="S757" s="4">
        <f t="shared" si="58"/>
        <v>1.5030688466713773</v>
      </c>
      <c r="T757" s="19" t="str">
        <f t="shared" si="59"/>
        <v>🟡 Mid</v>
      </c>
    </row>
    <row r="758" spans="1:20" x14ac:dyDescent="0.3">
      <c r="A758" s="16">
        <v>757</v>
      </c>
      <c r="B758" s="1" t="s">
        <v>65</v>
      </c>
      <c r="C758" s="1" t="s">
        <v>36</v>
      </c>
      <c r="D758" s="1" t="s">
        <v>41</v>
      </c>
      <c r="E758" s="1" t="s">
        <v>61</v>
      </c>
      <c r="F758" s="1" t="s">
        <v>31</v>
      </c>
      <c r="G758" s="1" t="s">
        <v>43</v>
      </c>
      <c r="H758" s="1" t="s">
        <v>68</v>
      </c>
      <c r="I758" s="1" t="s">
        <v>27</v>
      </c>
      <c r="J758" s="5">
        <v>2024</v>
      </c>
      <c r="K758" s="1">
        <v>14296.3</v>
      </c>
      <c r="L758" s="1">
        <v>266212</v>
      </c>
      <c r="M758" s="1">
        <v>6850</v>
      </c>
      <c r="N758" s="1">
        <v>661</v>
      </c>
      <c r="O758" s="1">
        <v>11213.49</v>
      </c>
      <c r="P758" s="8">
        <f t="shared" si="55"/>
        <v>2.5731371989241656</v>
      </c>
      <c r="Q758" s="10">
        <f t="shared" si="56"/>
        <v>1.6370058394160583</v>
      </c>
      <c r="R758" s="12">
        <f t="shared" si="57"/>
        <v>16.964432677760968</v>
      </c>
      <c r="S758" s="2">
        <f t="shared" si="58"/>
        <v>1.2749197618225905</v>
      </c>
      <c r="T758" s="18" t="str">
        <f t="shared" si="59"/>
        <v>🟡 Mid</v>
      </c>
    </row>
    <row r="759" spans="1:20" x14ac:dyDescent="0.3">
      <c r="A759" s="17">
        <v>758</v>
      </c>
      <c r="B759" s="3" t="s">
        <v>67</v>
      </c>
      <c r="C759" s="3" t="s">
        <v>40</v>
      </c>
      <c r="D759" s="3" t="s">
        <v>29</v>
      </c>
      <c r="E759" s="3" t="s">
        <v>23</v>
      </c>
      <c r="F759" s="3" t="s">
        <v>47</v>
      </c>
      <c r="G759" s="3" t="s">
        <v>50</v>
      </c>
      <c r="H759" s="3" t="s">
        <v>81</v>
      </c>
      <c r="I759" s="3" t="s">
        <v>34</v>
      </c>
      <c r="J759" s="6">
        <v>2023</v>
      </c>
      <c r="K759" s="3">
        <v>6451.15</v>
      </c>
      <c r="L759" s="3">
        <v>96165</v>
      </c>
      <c r="M759" s="3">
        <v>1088</v>
      </c>
      <c r="N759" s="3">
        <v>41</v>
      </c>
      <c r="O759" s="3">
        <v>4972.13</v>
      </c>
      <c r="P759" s="9">
        <f t="shared" si="55"/>
        <v>1.1313887589039671</v>
      </c>
      <c r="Q759" s="11">
        <f t="shared" si="56"/>
        <v>4.5699724264705885</v>
      </c>
      <c r="R759" s="13">
        <f t="shared" si="57"/>
        <v>121.27146341463416</v>
      </c>
      <c r="S759" s="4">
        <f t="shared" si="58"/>
        <v>1.2974620534861316</v>
      </c>
      <c r="T759" s="19" t="str">
        <f t="shared" si="59"/>
        <v>🔴 Low</v>
      </c>
    </row>
    <row r="760" spans="1:20" x14ac:dyDescent="0.3">
      <c r="A760" s="16">
        <v>759</v>
      </c>
      <c r="B760" s="1" t="s">
        <v>85</v>
      </c>
      <c r="C760" s="1" t="s">
        <v>40</v>
      </c>
      <c r="D760" s="1" t="s">
        <v>22</v>
      </c>
      <c r="E760" s="1" t="s">
        <v>42</v>
      </c>
      <c r="F760" s="1" t="s">
        <v>31</v>
      </c>
      <c r="G760" s="1" t="s">
        <v>25</v>
      </c>
      <c r="H760" s="1" t="s">
        <v>58</v>
      </c>
      <c r="I760" s="1" t="s">
        <v>27</v>
      </c>
      <c r="J760" s="5">
        <v>2023</v>
      </c>
      <c r="K760" s="1">
        <v>11718.68</v>
      </c>
      <c r="L760" s="1">
        <v>93693</v>
      </c>
      <c r="M760" s="1">
        <v>1474</v>
      </c>
      <c r="N760" s="1">
        <v>18</v>
      </c>
      <c r="O760" s="1">
        <v>11334.64</v>
      </c>
      <c r="P760" s="8">
        <f t="shared" si="55"/>
        <v>1.5732231863639761</v>
      </c>
      <c r="Q760" s="10">
        <f t="shared" si="56"/>
        <v>7.6897150610583447</v>
      </c>
      <c r="R760" s="12">
        <f t="shared" si="57"/>
        <v>629.70222222222219</v>
      </c>
      <c r="S760" s="2">
        <f t="shared" si="58"/>
        <v>1.0338819759604188</v>
      </c>
      <c r="T760" s="18" t="str">
        <f t="shared" si="59"/>
        <v>🟡 Mid</v>
      </c>
    </row>
    <row r="761" spans="1:20" x14ac:dyDescent="0.3">
      <c r="A761" s="17">
        <v>760</v>
      </c>
      <c r="B761" s="3" t="s">
        <v>102</v>
      </c>
      <c r="C761" s="3" t="s">
        <v>40</v>
      </c>
      <c r="D761" s="3" t="s">
        <v>41</v>
      </c>
      <c r="E761" s="3" t="s">
        <v>56</v>
      </c>
      <c r="F761" s="3" t="s">
        <v>31</v>
      </c>
      <c r="G761" s="3" t="s">
        <v>32</v>
      </c>
      <c r="H761" s="3" t="s">
        <v>54</v>
      </c>
      <c r="I761" s="3" t="s">
        <v>45</v>
      </c>
      <c r="J761" s="6">
        <v>2023</v>
      </c>
      <c r="K761" s="3">
        <v>8406.69</v>
      </c>
      <c r="L761" s="3">
        <v>651223</v>
      </c>
      <c r="M761" s="3">
        <v>6284</v>
      </c>
      <c r="N761" s="3">
        <v>472</v>
      </c>
      <c r="O761" s="3">
        <v>7979.52</v>
      </c>
      <c r="P761" s="9">
        <f t="shared" si="55"/>
        <v>0.96495363339439788</v>
      </c>
      <c r="Q761" s="11">
        <f t="shared" si="56"/>
        <v>1.2698154042011458</v>
      </c>
      <c r="R761" s="13">
        <f t="shared" si="57"/>
        <v>16.905762711864408</v>
      </c>
      <c r="S761" s="4">
        <f t="shared" si="58"/>
        <v>1.0535332952358036</v>
      </c>
      <c r="T761" s="19" t="str">
        <f t="shared" si="59"/>
        <v>🔴 Low</v>
      </c>
    </row>
    <row r="762" spans="1:20" x14ac:dyDescent="0.3">
      <c r="A762" s="16">
        <v>761</v>
      </c>
      <c r="B762" s="1" t="s">
        <v>35</v>
      </c>
      <c r="C762" s="1" t="s">
        <v>36</v>
      </c>
      <c r="D762" s="1" t="s">
        <v>29</v>
      </c>
      <c r="E762" s="1" t="s">
        <v>23</v>
      </c>
      <c r="F762" s="1" t="s">
        <v>24</v>
      </c>
      <c r="G762" s="1" t="s">
        <v>32</v>
      </c>
      <c r="H762" s="1" t="s">
        <v>44</v>
      </c>
      <c r="I762" s="1" t="s">
        <v>45</v>
      </c>
      <c r="J762" s="5">
        <v>2023</v>
      </c>
      <c r="K762" s="1">
        <v>12343.78</v>
      </c>
      <c r="L762" s="1">
        <v>181718</v>
      </c>
      <c r="M762" s="1">
        <v>4230</v>
      </c>
      <c r="N762" s="1">
        <v>108</v>
      </c>
      <c r="O762" s="1">
        <v>8573.11</v>
      </c>
      <c r="P762" s="8">
        <f t="shared" si="55"/>
        <v>2.3277826082171273</v>
      </c>
      <c r="Q762" s="10">
        <f t="shared" si="56"/>
        <v>2.0267399527186765</v>
      </c>
      <c r="R762" s="12">
        <f t="shared" si="57"/>
        <v>79.380648148148154</v>
      </c>
      <c r="S762" s="2">
        <f t="shared" si="58"/>
        <v>1.4398252209524898</v>
      </c>
      <c r="T762" s="18" t="str">
        <f t="shared" si="59"/>
        <v>🟡 Mid</v>
      </c>
    </row>
    <row r="763" spans="1:20" x14ac:dyDescent="0.3">
      <c r="A763" s="17">
        <v>762</v>
      </c>
      <c r="B763" s="3" t="s">
        <v>72</v>
      </c>
      <c r="C763" s="3" t="s">
        <v>36</v>
      </c>
      <c r="D763" s="3" t="s">
        <v>46</v>
      </c>
      <c r="E763" s="3" t="s">
        <v>61</v>
      </c>
      <c r="F763" s="3" t="s">
        <v>47</v>
      </c>
      <c r="G763" s="3" t="s">
        <v>57</v>
      </c>
      <c r="H763" s="3" t="s">
        <v>33</v>
      </c>
      <c r="I763" s="3" t="s">
        <v>34</v>
      </c>
      <c r="J763" s="6">
        <v>2024</v>
      </c>
      <c r="K763" s="3">
        <v>7892.35</v>
      </c>
      <c r="L763" s="3">
        <v>396416</v>
      </c>
      <c r="M763" s="3">
        <v>7454</v>
      </c>
      <c r="N763" s="3">
        <v>731</v>
      </c>
      <c r="O763" s="3">
        <v>5855.67</v>
      </c>
      <c r="P763" s="9">
        <f t="shared" si="55"/>
        <v>1.8803479173393607</v>
      </c>
      <c r="Q763" s="11">
        <f t="shared" si="56"/>
        <v>0.78557418835524551</v>
      </c>
      <c r="R763" s="13">
        <f t="shared" si="57"/>
        <v>8.0104924760601914</v>
      </c>
      <c r="S763" s="4">
        <f t="shared" si="58"/>
        <v>1.3478133159826289</v>
      </c>
      <c r="T763" s="19" t="str">
        <f t="shared" si="59"/>
        <v>🟡 Mid</v>
      </c>
    </row>
    <row r="764" spans="1:20" hidden="1" x14ac:dyDescent="0.3">
      <c r="A764" s="16">
        <v>763</v>
      </c>
      <c r="B764" s="1" t="s">
        <v>63</v>
      </c>
      <c r="C764" s="1" t="s">
        <v>21</v>
      </c>
      <c r="D764" s="1" t="s">
        <v>29</v>
      </c>
      <c r="E764" s="1" t="s">
        <v>42</v>
      </c>
      <c r="F764" s="1" t="s">
        <v>47</v>
      </c>
      <c r="G764" s="1" t="s">
        <v>43</v>
      </c>
      <c r="H764" s="1" t="s">
        <v>48</v>
      </c>
      <c r="I764" s="1" t="s">
        <v>34</v>
      </c>
      <c r="J764" s="5">
        <v>2024</v>
      </c>
      <c r="K764" s="1">
        <v>5662.64</v>
      </c>
      <c r="L764" s="1">
        <v>7342</v>
      </c>
      <c r="M764" s="1">
        <v>47</v>
      </c>
      <c r="N764" s="1">
        <v>0</v>
      </c>
      <c r="O764" s="1">
        <v>4122.54</v>
      </c>
      <c r="P764" s="8">
        <f t="shared" si="55"/>
        <v>0.64015254698992097</v>
      </c>
      <c r="Q764" s="10">
        <f t="shared" si="56"/>
        <v>87.71361702127659</v>
      </c>
      <c r="R764" s="12" t="str">
        <f t="shared" si="57"/>
        <v>-</v>
      </c>
      <c r="S764" s="2">
        <f t="shared" si="58"/>
        <v>1.3735803655028211</v>
      </c>
      <c r="T764" s="18" t="str">
        <f t="shared" si="59"/>
        <v>🔴 Low</v>
      </c>
    </row>
    <row r="765" spans="1:20" x14ac:dyDescent="0.3">
      <c r="A765" s="17">
        <v>764</v>
      </c>
      <c r="B765" s="3" t="s">
        <v>28</v>
      </c>
      <c r="C765" s="3" t="s">
        <v>21</v>
      </c>
      <c r="D765" s="3" t="s">
        <v>41</v>
      </c>
      <c r="E765" s="3" t="s">
        <v>61</v>
      </c>
      <c r="F765" s="3" t="s">
        <v>47</v>
      </c>
      <c r="G765" s="3" t="s">
        <v>57</v>
      </c>
      <c r="H765" s="3" t="s">
        <v>37</v>
      </c>
      <c r="I765" s="3" t="s">
        <v>38</v>
      </c>
      <c r="J765" s="6">
        <v>2023</v>
      </c>
      <c r="K765" s="3">
        <v>12502.84</v>
      </c>
      <c r="L765" s="3">
        <v>349511</v>
      </c>
      <c r="M765" s="3">
        <v>186</v>
      </c>
      <c r="N765" s="3">
        <v>15</v>
      </c>
      <c r="O765" s="3">
        <v>8064.44</v>
      </c>
      <c r="P765" s="9">
        <f t="shared" si="55"/>
        <v>5.3217209186549201E-2</v>
      </c>
      <c r="Q765" s="11">
        <f t="shared" si="56"/>
        <v>43.357204301075264</v>
      </c>
      <c r="R765" s="13">
        <f t="shared" si="57"/>
        <v>537.62933333333331</v>
      </c>
      <c r="S765" s="4">
        <f t="shared" si="58"/>
        <v>1.5503667954625493</v>
      </c>
      <c r="T765" s="19" t="str">
        <f t="shared" si="59"/>
        <v>🔴 Low</v>
      </c>
    </row>
    <row r="766" spans="1:20" x14ac:dyDescent="0.3">
      <c r="A766" s="16">
        <v>765</v>
      </c>
      <c r="B766" s="1" t="s">
        <v>92</v>
      </c>
      <c r="C766" s="1" t="s">
        <v>40</v>
      </c>
      <c r="D766" s="1" t="s">
        <v>41</v>
      </c>
      <c r="E766" s="1" t="s">
        <v>23</v>
      </c>
      <c r="F766" s="1" t="s">
        <v>24</v>
      </c>
      <c r="G766" s="1" t="s">
        <v>57</v>
      </c>
      <c r="H766" s="1" t="s">
        <v>33</v>
      </c>
      <c r="I766" s="1" t="s">
        <v>34</v>
      </c>
      <c r="J766" s="5">
        <v>2024</v>
      </c>
      <c r="K766" s="1">
        <v>4352.12</v>
      </c>
      <c r="L766" s="1">
        <v>559797</v>
      </c>
      <c r="M766" s="1">
        <v>7346</v>
      </c>
      <c r="N766" s="1">
        <v>513</v>
      </c>
      <c r="O766" s="1">
        <v>3502.21</v>
      </c>
      <c r="P766" s="8">
        <f t="shared" si="55"/>
        <v>1.3122614090464937</v>
      </c>
      <c r="Q766" s="10">
        <f t="shared" si="56"/>
        <v>0.47675061257827389</v>
      </c>
      <c r="R766" s="12">
        <f t="shared" si="57"/>
        <v>6.8269200779727095</v>
      </c>
      <c r="S766" s="2">
        <f t="shared" si="58"/>
        <v>1.2426781946256791</v>
      </c>
      <c r="T766" s="18" t="str">
        <f t="shared" si="59"/>
        <v>🔴 Low</v>
      </c>
    </row>
    <row r="767" spans="1:20" x14ac:dyDescent="0.3">
      <c r="A767" s="17">
        <v>766</v>
      </c>
      <c r="B767" s="3" t="s">
        <v>94</v>
      </c>
      <c r="C767" s="3" t="s">
        <v>36</v>
      </c>
      <c r="D767" s="3" t="s">
        <v>46</v>
      </c>
      <c r="E767" s="3" t="s">
        <v>56</v>
      </c>
      <c r="F767" s="3" t="s">
        <v>47</v>
      </c>
      <c r="G767" s="3" t="s">
        <v>43</v>
      </c>
      <c r="H767" s="3" t="s">
        <v>52</v>
      </c>
      <c r="I767" s="3" t="s">
        <v>38</v>
      </c>
      <c r="J767" s="6">
        <v>2024</v>
      </c>
      <c r="K767" s="3">
        <v>8852.66</v>
      </c>
      <c r="L767" s="3">
        <v>196031</v>
      </c>
      <c r="M767" s="3">
        <v>5437</v>
      </c>
      <c r="N767" s="3">
        <v>392</v>
      </c>
      <c r="O767" s="3">
        <v>6313.56</v>
      </c>
      <c r="P767" s="9">
        <f t="shared" si="55"/>
        <v>2.7735409195484388</v>
      </c>
      <c r="Q767" s="11">
        <f t="shared" si="56"/>
        <v>1.1612212617252162</v>
      </c>
      <c r="R767" s="13">
        <f t="shared" si="57"/>
        <v>16.106020408163268</v>
      </c>
      <c r="S767" s="4">
        <f t="shared" si="58"/>
        <v>1.4021661313110194</v>
      </c>
      <c r="T767" s="19" t="str">
        <f t="shared" si="59"/>
        <v>🟡 Mid</v>
      </c>
    </row>
    <row r="768" spans="1:20" x14ac:dyDescent="0.3">
      <c r="A768" s="16">
        <v>767</v>
      </c>
      <c r="B768" s="1" t="s">
        <v>66</v>
      </c>
      <c r="C768" s="1" t="s">
        <v>40</v>
      </c>
      <c r="D768" s="1" t="s">
        <v>46</v>
      </c>
      <c r="E768" s="1" t="s">
        <v>30</v>
      </c>
      <c r="F768" s="1" t="s">
        <v>47</v>
      </c>
      <c r="G768" s="1" t="s">
        <v>50</v>
      </c>
      <c r="H768" s="1" t="s">
        <v>68</v>
      </c>
      <c r="I768" s="1" t="s">
        <v>27</v>
      </c>
      <c r="J768" s="5">
        <v>2024</v>
      </c>
      <c r="K768" s="1">
        <v>17729.740000000002</v>
      </c>
      <c r="L768" s="1">
        <v>748670</v>
      </c>
      <c r="M768" s="1">
        <v>12750</v>
      </c>
      <c r="N768" s="1">
        <v>540</v>
      </c>
      <c r="O768" s="1">
        <v>13575.83</v>
      </c>
      <c r="P768" s="8">
        <f t="shared" si="55"/>
        <v>1.7030200221726528</v>
      </c>
      <c r="Q768" s="10">
        <f t="shared" si="56"/>
        <v>1.0647709803921568</v>
      </c>
      <c r="R768" s="12">
        <f t="shared" si="57"/>
        <v>25.140425925925925</v>
      </c>
      <c r="S768" s="2">
        <f t="shared" si="58"/>
        <v>1.3059783453387381</v>
      </c>
      <c r="T768" s="18" t="str">
        <f t="shared" si="59"/>
        <v>🟡 Mid</v>
      </c>
    </row>
    <row r="769" spans="1:20" x14ac:dyDescent="0.3">
      <c r="A769" s="17">
        <v>768</v>
      </c>
      <c r="B769" s="3" t="s">
        <v>78</v>
      </c>
      <c r="C769" s="3" t="s">
        <v>21</v>
      </c>
      <c r="D769" s="3" t="s">
        <v>22</v>
      </c>
      <c r="E769" s="3" t="s">
        <v>30</v>
      </c>
      <c r="F769" s="3" t="s">
        <v>31</v>
      </c>
      <c r="G769" s="3" t="s">
        <v>25</v>
      </c>
      <c r="H769" s="3" t="s">
        <v>48</v>
      </c>
      <c r="I769" s="3" t="s">
        <v>34</v>
      </c>
      <c r="J769" s="6">
        <v>2024</v>
      </c>
      <c r="K769" s="3">
        <v>2816.45</v>
      </c>
      <c r="L769" s="3">
        <v>517824</v>
      </c>
      <c r="M769" s="3">
        <v>5216</v>
      </c>
      <c r="N769" s="3">
        <v>69</v>
      </c>
      <c r="O769" s="3">
        <v>2635.98</v>
      </c>
      <c r="P769" s="9">
        <f t="shared" si="55"/>
        <v>1.0072920528982821</v>
      </c>
      <c r="Q769" s="11">
        <f t="shared" si="56"/>
        <v>0.50536426380368094</v>
      </c>
      <c r="R769" s="13">
        <f t="shared" si="57"/>
        <v>38.202608695652174</v>
      </c>
      <c r="S769" s="4">
        <f t="shared" si="58"/>
        <v>1.0684641006380928</v>
      </c>
      <c r="T769" s="19" t="str">
        <f t="shared" si="59"/>
        <v>🔴 Low</v>
      </c>
    </row>
    <row r="770" spans="1:20" x14ac:dyDescent="0.3">
      <c r="A770" s="16">
        <v>769</v>
      </c>
      <c r="B770" s="1" t="s">
        <v>69</v>
      </c>
      <c r="C770" s="1" t="s">
        <v>21</v>
      </c>
      <c r="D770" s="1" t="s">
        <v>13</v>
      </c>
      <c r="E770" s="1" t="s">
        <v>56</v>
      </c>
      <c r="F770" s="1" t="s">
        <v>31</v>
      </c>
      <c r="G770" s="1" t="s">
        <v>50</v>
      </c>
      <c r="H770" s="1" t="s">
        <v>26</v>
      </c>
      <c r="I770" s="1" t="s">
        <v>27</v>
      </c>
      <c r="J770" s="5">
        <v>2023</v>
      </c>
      <c r="K770" s="1">
        <v>19174.73</v>
      </c>
      <c r="L770" s="1">
        <v>27179</v>
      </c>
      <c r="M770" s="1">
        <v>277</v>
      </c>
      <c r="N770" s="1">
        <v>14</v>
      </c>
      <c r="O770" s="1">
        <v>17016.88</v>
      </c>
      <c r="P770" s="8">
        <f t="shared" ref="P770:P833" si="60">IFERROR(M770/L770*100,0)</f>
        <v>1.0191692115236028</v>
      </c>
      <c r="Q770" s="10">
        <f t="shared" ref="Q770:Q833" si="61">IFERROR(O770/M770,0)</f>
        <v>61.432779783393507</v>
      </c>
      <c r="R770" s="12">
        <f t="shared" ref="R770:R833" si="62">IFERROR(O770/N770,"-")</f>
        <v>1215.4914285714287</v>
      </c>
      <c r="S770" s="2">
        <f t="shared" ref="S770:S833" si="63">IFERROR(K770/O770,0)</f>
        <v>1.1268064416038661</v>
      </c>
      <c r="T770" s="18" t="str">
        <f t="shared" ref="T770:T833" si="64">IF(P770&gt;=3,"🟢 High",IF(P770&gt;=1.5,"🟡 Mid","🔴 Low"))</f>
        <v>🔴 Low</v>
      </c>
    </row>
    <row r="771" spans="1:20" x14ac:dyDescent="0.3">
      <c r="A771" s="17">
        <v>770</v>
      </c>
      <c r="B771" s="3" t="s">
        <v>72</v>
      </c>
      <c r="C771" s="3" t="s">
        <v>36</v>
      </c>
      <c r="D771" s="3" t="s">
        <v>41</v>
      </c>
      <c r="E771" s="3" t="s">
        <v>61</v>
      </c>
      <c r="F771" s="3" t="s">
        <v>31</v>
      </c>
      <c r="G771" s="3" t="s">
        <v>57</v>
      </c>
      <c r="H771" s="3" t="s">
        <v>33</v>
      </c>
      <c r="I771" s="3" t="s">
        <v>34</v>
      </c>
      <c r="J771" s="6">
        <v>2024</v>
      </c>
      <c r="K771" s="3">
        <v>6144.6</v>
      </c>
      <c r="L771" s="3">
        <v>514533</v>
      </c>
      <c r="M771" s="3">
        <v>16089</v>
      </c>
      <c r="N771" s="3">
        <v>1071</v>
      </c>
      <c r="O771" s="3">
        <v>4793.7700000000004</v>
      </c>
      <c r="P771" s="9">
        <f t="shared" si="60"/>
        <v>3.1269131425972678</v>
      </c>
      <c r="Q771" s="11">
        <f t="shared" si="61"/>
        <v>0.2979532599912984</v>
      </c>
      <c r="R771" s="13">
        <f t="shared" si="62"/>
        <v>4.4759757236227831</v>
      </c>
      <c r="S771" s="4">
        <f t="shared" si="63"/>
        <v>1.2817886548582849</v>
      </c>
      <c r="T771" s="19" t="str">
        <f t="shared" si="64"/>
        <v>🟢 High</v>
      </c>
    </row>
    <row r="772" spans="1:20" x14ac:dyDescent="0.3">
      <c r="A772" s="16">
        <v>771</v>
      </c>
      <c r="B772" s="1" t="s">
        <v>49</v>
      </c>
      <c r="C772" s="1" t="s">
        <v>21</v>
      </c>
      <c r="D772" s="1" t="s">
        <v>29</v>
      </c>
      <c r="E772" s="1" t="s">
        <v>30</v>
      </c>
      <c r="F772" s="1" t="s">
        <v>24</v>
      </c>
      <c r="G772" s="1" t="s">
        <v>43</v>
      </c>
      <c r="H772" s="1" t="s">
        <v>58</v>
      </c>
      <c r="I772" s="1" t="s">
        <v>27</v>
      </c>
      <c r="J772" s="5">
        <v>2024</v>
      </c>
      <c r="K772" s="1">
        <v>19888.009999999998</v>
      </c>
      <c r="L772" s="1">
        <v>264369</v>
      </c>
      <c r="M772" s="1">
        <v>1148</v>
      </c>
      <c r="N772" s="1">
        <v>27</v>
      </c>
      <c r="O772" s="1">
        <v>18470.810000000001</v>
      </c>
      <c r="P772" s="8">
        <f t="shared" si="60"/>
        <v>0.43424153361400164</v>
      </c>
      <c r="Q772" s="10">
        <f t="shared" si="61"/>
        <v>16.08955574912892</v>
      </c>
      <c r="R772" s="12">
        <f t="shared" si="62"/>
        <v>684.10407407407411</v>
      </c>
      <c r="S772" s="2">
        <f t="shared" si="63"/>
        <v>1.07672646732872</v>
      </c>
      <c r="T772" s="18" t="str">
        <f t="shared" si="64"/>
        <v>🔴 Low</v>
      </c>
    </row>
    <row r="773" spans="1:20" x14ac:dyDescent="0.3">
      <c r="A773" s="17">
        <v>772</v>
      </c>
      <c r="B773" s="3" t="s">
        <v>55</v>
      </c>
      <c r="C773" s="3" t="s">
        <v>36</v>
      </c>
      <c r="D773" s="3" t="s">
        <v>46</v>
      </c>
      <c r="E773" s="3" t="s">
        <v>61</v>
      </c>
      <c r="F773" s="3" t="s">
        <v>31</v>
      </c>
      <c r="G773" s="3" t="s">
        <v>25</v>
      </c>
      <c r="H773" s="3" t="s">
        <v>83</v>
      </c>
      <c r="I773" s="3" t="s">
        <v>38</v>
      </c>
      <c r="J773" s="6">
        <v>2023</v>
      </c>
      <c r="K773" s="3">
        <v>3079.77</v>
      </c>
      <c r="L773" s="3">
        <v>45230</v>
      </c>
      <c r="M773" s="3">
        <v>1059</v>
      </c>
      <c r="N773" s="3">
        <v>59</v>
      </c>
      <c r="O773" s="3">
        <v>2096.44</v>
      </c>
      <c r="P773" s="9">
        <f t="shared" si="60"/>
        <v>2.3413663497678532</v>
      </c>
      <c r="Q773" s="11">
        <f t="shared" si="61"/>
        <v>1.9796411709159585</v>
      </c>
      <c r="R773" s="13">
        <f t="shared" si="62"/>
        <v>35.532881355932204</v>
      </c>
      <c r="S773" s="4">
        <f t="shared" si="63"/>
        <v>1.469047528190647</v>
      </c>
      <c r="T773" s="19" t="str">
        <f t="shared" si="64"/>
        <v>🟡 Mid</v>
      </c>
    </row>
    <row r="774" spans="1:20" x14ac:dyDescent="0.3">
      <c r="A774" s="16">
        <v>773</v>
      </c>
      <c r="B774" s="1" t="s">
        <v>75</v>
      </c>
      <c r="C774" s="1" t="s">
        <v>36</v>
      </c>
      <c r="D774" s="1" t="s">
        <v>22</v>
      </c>
      <c r="E774" s="1" t="s">
        <v>61</v>
      </c>
      <c r="F774" s="1" t="s">
        <v>24</v>
      </c>
      <c r="G774" s="1" t="s">
        <v>57</v>
      </c>
      <c r="H774" s="1" t="s">
        <v>68</v>
      </c>
      <c r="I774" s="1" t="s">
        <v>27</v>
      </c>
      <c r="J774" s="5">
        <v>2024</v>
      </c>
      <c r="K774" s="1">
        <v>8442.2999999999993</v>
      </c>
      <c r="L774" s="1">
        <v>326331</v>
      </c>
      <c r="M774" s="1">
        <v>7730</v>
      </c>
      <c r="N774" s="1">
        <v>64</v>
      </c>
      <c r="O774" s="1">
        <v>6576.15</v>
      </c>
      <c r="P774" s="8">
        <f t="shared" si="60"/>
        <v>2.3687605529355165</v>
      </c>
      <c r="Q774" s="10">
        <f t="shared" si="61"/>
        <v>0.85073091849935312</v>
      </c>
      <c r="R774" s="12">
        <f t="shared" si="62"/>
        <v>102.75234374999999</v>
      </c>
      <c r="S774" s="2">
        <f t="shared" si="63"/>
        <v>1.2837754613261558</v>
      </c>
      <c r="T774" s="18" t="str">
        <f t="shared" si="64"/>
        <v>🟡 Mid</v>
      </c>
    </row>
    <row r="775" spans="1:20" x14ac:dyDescent="0.3">
      <c r="A775" s="17">
        <v>774</v>
      </c>
      <c r="B775" s="3" t="s">
        <v>75</v>
      </c>
      <c r="C775" s="3" t="s">
        <v>36</v>
      </c>
      <c r="D775" s="3" t="s">
        <v>22</v>
      </c>
      <c r="E775" s="3" t="s">
        <v>23</v>
      </c>
      <c r="F775" s="3" t="s">
        <v>24</v>
      </c>
      <c r="G775" s="3" t="s">
        <v>43</v>
      </c>
      <c r="H775" s="3" t="s">
        <v>37</v>
      </c>
      <c r="I775" s="3" t="s">
        <v>38</v>
      </c>
      <c r="J775" s="6">
        <v>2024</v>
      </c>
      <c r="K775" s="3">
        <v>18888.48</v>
      </c>
      <c r="L775" s="3">
        <v>751151</v>
      </c>
      <c r="M775" s="3">
        <v>11029</v>
      </c>
      <c r="N775" s="3">
        <v>124</v>
      </c>
      <c r="O775" s="3">
        <v>13870.44</v>
      </c>
      <c r="P775" s="9">
        <f t="shared" si="60"/>
        <v>1.4682800129401412</v>
      </c>
      <c r="Q775" s="11">
        <f t="shared" si="61"/>
        <v>1.2576335116511017</v>
      </c>
      <c r="R775" s="13">
        <f t="shared" si="62"/>
        <v>111.85838709677419</v>
      </c>
      <c r="S775" s="4">
        <f t="shared" si="63"/>
        <v>1.3617794388642321</v>
      </c>
      <c r="T775" s="19" t="str">
        <f t="shared" si="64"/>
        <v>🔴 Low</v>
      </c>
    </row>
    <row r="776" spans="1:20" x14ac:dyDescent="0.3">
      <c r="A776" s="16">
        <v>775</v>
      </c>
      <c r="B776" s="1" t="s">
        <v>65</v>
      </c>
      <c r="C776" s="1" t="s">
        <v>36</v>
      </c>
      <c r="D776" s="1" t="s">
        <v>22</v>
      </c>
      <c r="E776" s="1" t="s">
        <v>42</v>
      </c>
      <c r="F776" s="1" t="s">
        <v>24</v>
      </c>
      <c r="G776" s="1" t="s">
        <v>43</v>
      </c>
      <c r="H776" s="1" t="s">
        <v>83</v>
      </c>
      <c r="I776" s="1" t="s">
        <v>38</v>
      </c>
      <c r="J776" s="5">
        <v>2024</v>
      </c>
      <c r="K776" s="1">
        <v>9705.1299999999992</v>
      </c>
      <c r="L776" s="1">
        <v>640984</v>
      </c>
      <c r="M776" s="1">
        <v>19599</v>
      </c>
      <c r="N776" s="1">
        <v>376</v>
      </c>
      <c r="O776" s="1">
        <v>7305.09</v>
      </c>
      <c r="P776" s="8">
        <f t="shared" si="60"/>
        <v>3.0576426244648856</v>
      </c>
      <c r="Q776" s="10">
        <f t="shared" si="61"/>
        <v>0.3727276901882749</v>
      </c>
      <c r="R776" s="12">
        <f t="shared" si="62"/>
        <v>19.42843085106383</v>
      </c>
      <c r="S776" s="2">
        <f t="shared" si="63"/>
        <v>1.32854352239329</v>
      </c>
      <c r="T776" s="18" t="str">
        <f t="shared" si="64"/>
        <v>🟢 High</v>
      </c>
    </row>
    <row r="777" spans="1:20" x14ac:dyDescent="0.3">
      <c r="A777" s="17">
        <v>776</v>
      </c>
      <c r="B777" s="3" t="s">
        <v>39</v>
      </c>
      <c r="C777" s="3" t="s">
        <v>40</v>
      </c>
      <c r="D777" s="3" t="s">
        <v>22</v>
      </c>
      <c r="E777" s="3" t="s">
        <v>42</v>
      </c>
      <c r="F777" s="3" t="s">
        <v>31</v>
      </c>
      <c r="G777" s="3" t="s">
        <v>32</v>
      </c>
      <c r="H777" s="3" t="s">
        <v>26</v>
      </c>
      <c r="I777" s="3" t="s">
        <v>27</v>
      </c>
      <c r="J777" s="6">
        <v>2024</v>
      </c>
      <c r="K777" s="3">
        <v>7531.09</v>
      </c>
      <c r="L777" s="3">
        <v>383939</v>
      </c>
      <c r="M777" s="3">
        <v>6869</v>
      </c>
      <c r="N777" s="3">
        <v>110</v>
      </c>
      <c r="O777" s="3">
        <v>6381.41</v>
      </c>
      <c r="P777" s="9">
        <f t="shared" si="60"/>
        <v>1.7890862871445725</v>
      </c>
      <c r="Q777" s="11">
        <f t="shared" si="61"/>
        <v>0.929015868394235</v>
      </c>
      <c r="R777" s="13">
        <f t="shared" si="62"/>
        <v>58.012818181818183</v>
      </c>
      <c r="S777" s="4">
        <f t="shared" si="63"/>
        <v>1.1801608108552812</v>
      </c>
      <c r="T777" s="19" t="str">
        <f t="shared" si="64"/>
        <v>🟡 Mid</v>
      </c>
    </row>
    <row r="778" spans="1:20" x14ac:dyDescent="0.3">
      <c r="A778" s="16">
        <v>777</v>
      </c>
      <c r="B778" s="1" t="s">
        <v>95</v>
      </c>
      <c r="C778" s="1" t="s">
        <v>21</v>
      </c>
      <c r="D778" s="1" t="s">
        <v>46</v>
      </c>
      <c r="E778" s="1" t="s">
        <v>23</v>
      </c>
      <c r="F778" s="1" t="s">
        <v>24</v>
      </c>
      <c r="G778" s="1" t="s">
        <v>32</v>
      </c>
      <c r="H778" s="1" t="s">
        <v>33</v>
      </c>
      <c r="I778" s="1" t="s">
        <v>34</v>
      </c>
      <c r="J778" s="5">
        <v>2023</v>
      </c>
      <c r="K778" s="1">
        <v>17800.28</v>
      </c>
      <c r="L778" s="1">
        <v>141823</v>
      </c>
      <c r="M778" s="1">
        <v>332</v>
      </c>
      <c r="N778" s="1">
        <v>14</v>
      </c>
      <c r="O778" s="1">
        <v>17919.52</v>
      </c>
      <c r="P778" s="8">
        <f t="shared" si="60"/>
        <v>0.23409461088821984</v>
      </c>
      <c r="Q778" s="10">
        <f t="shared" si="61"/>
        <v>53.974457831325303</v>
      </c>
      <c r="R778" s="12">
        <f t="shared" si="62"/>
        <v>1279.9657142857143</v>
      </c>
      <c r="S778" s="2">
        <f t="shared" si="63"/>
        <v>0.99334580390546168</v>
      </c>
      <c r="T778" s="18" t="str">
        <f t="shared" si="64"/>
        <v>🔴 Low</v>
      </c>
    </row>
    <row r="779" spans="1:20" x14ac:dyDescent="0.3">
      <c r="A779" s="17">
        <v>778</v>
      </c>
      <c r="B779" s="3" t="s">
        <v>63</v>
      </c>
      <c r="C779" s="3" t="s">
        <v>21</v>
      </c>
      <c r="D779" s="3" t="s">
        <v>46</v>
      </c>
      <c r="E779" s="3" t="s">
        <v>56</v>
      </c>
      <c r="F779" s="3" t="s">
        <v>24</v>
      </c>
      <c r="G779" s="3" t="s">
        <v>57</v>
      </c>
      <c r="H779" s="3" t="s">
        <v>81</v>
      </c>
      <c r="I779" s="3" t="s">
        <v>34</v>
      </c>
      <c r="J779" s="6">
        <v>2024</v>
      </c>
      <c r="K779" s="3">
        <v>6378.79</v>
      </c>
      <c r="L779" s="3">
        <v>502233</v>
      </c>
      <c r="M779" s="3">
        <v>1037</v>
      </c>
      <c r="N779" s="3">
        <v>103</v>
      </c>
      <c r="O779" s="3">
        <v>4368.45</v>
      </c>
      <c r="P779" s="9">
        <f t="shared" si="60"/>
        <v>0.20647786983332439</v>
      </c>
      <c r="Q779" s="11">
        <f t="shared" si="61"/>
        <v>4.2125843780135002</v>
      </c>
      <c r="R779" s="13">
        <f t="shared" si="62"/>
        <v>42.412135922330094</v>
      </c>
      <c r="S779" s="4">
        <f t="shared" si="63"/>
        <v>1.4601952637663245</v>
      </c>
      <c r="T779" s="19" t="str">
        <f t="shared" si="64"/>
        <v>🔴 Low</v>
      </c>
    </row>
    <row r="780" spans="1:20" x14ac:dyDescent="0.3">
      <c r="A780" s="16">
        <v>779</v>
      </c>
      <c r="B780" s="1" t="s">
        <v>49</v>
      </c>
      <c r="C780" s="1" t="s">
        <v>21</v>
      </c>
      <c r="D780" s="1" t="s">
        <v>22</v>
      </c>
      <c r="E780" s="1" t="s">
        <v>30</v>
      </c>
      <c r="F780" s="1" t="s">
        <v>24</v>
      </c>
      <c r="G780" s="1" t="s">
        <v>50</v>
      </c>
      <c r="H780" s="1" t="s">
        <v>81</v>
      </c>
      <c r="I780" s="1" t="s">
        <v>34</v>
      </c>
      <c r="J780" s="5">
        <v>2024</v>
      </c>
      <c r="K780" s="1">
        <v>17885.939999999999</v>
      </c>
      <c r="L780" s="1">
        <v>592565</v>
      </c>
      <c r="M780" s="1">
        <v>10360</v>
      </c>
      <c r="N780" s="1">
        <v>121</v>
      </c>
      <c r="O780" s="1">
        <v>16120.18</v>
      </c>
      <c r="P780" s="8">
        <f t="shared" si="60"/>
        <v>1.7483314066811237</v>
      </c>
      <c r="Q780" s="10">
        <f t="shared" si="61"/>
        <v>1.5560019305019306</v>
      </c>
      <c r="R780" s="12">
        <f t="shared" si="62"/>
        <v>133.22462809917354</v>
      </c>
      <c r="S780" s="2">
        <f t="shared" si="63"/>
        <v>1.1095372384179332</v>
      </c>
      <c r="T780" s="18" t="str">
        <f t="shared" si="64"/>
        <v>🟡 Mid</v>
      </c>
    </row>
    <row r="781" spans="1:20" x14ac:dyDescent="0.3">
      <c r="A781" s="17">
        <v>780</v>
      </c>
      <c r="B781" s="3" t="s">
        <v>85</v>
      </c>
      <c r="C781" s="3" t="s">
        <v>40</v>
      </c>
      <c r="D781" s="3" t="s">
        <v>41</v>
      </c>
      <c r="E781" s="3" t="s">
        <v>56</v>
      </c>
      <c r="F781" s="3" t="s">
        <v>31</v>
      </c>
      <c r="G781" s="3" t="s">
        <v>32</v>
      </c>
      <c r="H781" s="3" t="s">
        <v>68</v>
      </c>
      <c r="I781" s="3" t="s">
        <v>27</v>
      </c>
      <c r="J781" s="6">
        <v>2023</v>
      </c>
      <c r="K781" s="3">
        <v>12183.5</v>
      </c>
      <c r="L781" s="3">
        <v>735549</v>
      </c>
      <c r="M781" s="3">
        <v>10553</v>
      </c>
      <c r="N781" s="3">
        <v>1449</v>
      </c>
      <c r="O781" s="3">
        <v>8792.2900000000009</v>
      </c>
      <c r="P781" s="9">
        <f t="shared" si="60"/>
        <v>1.4347106718926952</v>
      </c>
      <c r="Q781" s="11">
        <f t="shared" si="61"/>
        <v>0.83315550080545819</v>
      </c>
      <c r="R781" s="13">
        <f t="shared" si="62"/>
        <v>6.0678329882677717</v>
      </c>
      <c r="S781" s="4">
        <f t="shared" si="63"/>
        <v>1.3857027008890743</v>
      </c>
      <c r="T781" s="19" t="str">
        <f t="shared" si="64"/>
        <v>🔴 Low</v>
      </c>
    </row>
    <row r="782" spans="1:20" x14ac:dyDescent="0.3">
      <c r="A782" s="16">
        <v>781</v>
      </c>
      <c r="B782" s="1" t="s">
        <v>28</v>
      </c>
      <c r="C782" s="1" t="s">
        <v>21</v>
      </c>
      <c r="D782" s="1" t="s">
        <v>46</v>
      </c>
      <c r="E782" s="1" t="s">
        <v>56</v>
      </c>
      <c r="F782" s="1" t="s">
        <v>47</v>
      </c>
      <c r="G782" s="1" t="s">
        <v>32</v>
      </c>
      <c r="H782" s="1" t="s">
        <v>81</v>
      </c>
      <c r="I782" s="1" t="s">
        <v>34</v>
      </c>
      <c r="J782" s="5">
        <v>2023</v>
      </c>
      <c r="K782" s="1">
        <v>3727.61</v>
      </c>
      <c r="L782" s="1">
        <v>792195</v>
      </c>
      <c r="M782" s="1">
        <v>460</v>
      </c>
      <c r="N782" s="1">
        <v>29</v>
      </c>
      <c r="O782" s="1">
        <v>3187.22</v>
      </c>
      <c r="P782" s="8">
        <f t="shared" si="60"/>
        <v>5.8066511401864439E-2</v>
      </c>
      <c r="Q782" s="10">
        <f t="shared" si="61"/>
        <v>6.9287391304347823</v>
      </c>
      <c r="R782" s="12">
        <f t="shared" si="62"/>
        <v>109.90413793103447</v>
      </c>
      <c r="S782" s="2">
        <f t="shared" si="63"/>
        <v>1.1695490113641356</v>
      </c>
      <c r="T782" s="18" t="str">
        <f t="shared" si="64"/>
        <v>🔴 Low</v>
      </c>
    </row>
    <row r="783" spans="1:20" x14ac:dyDescent="0.3">
      <c r="A783" s="17">
        <v>782</v>
      </c>
      <c r="B783" s="3" t="s">
        <v>55</v>
      </c>
      <c r="C783" s="3" t="s">
        <v>36</v>
      </c>
      <c r="D783" s="3" t="s">
        <v>22</v>
      </c>
      <c r="E783" s="3" t="s">
        <v>30</v>
      </c>
      <c r="F783" s="3" t="s">
        <v>31</v>
      </c>
      <c r="G783" s="3" t="s">
        <v>25</v>
      </c>
      <c r="H783" s="3" t="s">
        <v>79</v>
      </c>
      <c r="I783" s="3" t="s">
        <v>45</v>
      </c>
      <c r="J783" s="6">
        <v>2023</v>
      </c>
      <c r="K783" s="3">
        <v>17643.52</v>
      </c>
      <c r="L783" s="3">
        <v>542705</v>
      </c>
      <c r="M783" s="3">
        <v>14992</v>
      </c>
      <c r="N783" s="3">
        <v>177</v>
      </c>
      <c r="O783" s="3">
        <v>15830.77</v>
      </c>
      <c r="P783" s="9">
        <f t="shared" si="60"/>
        <v>2.7624584258482967</v>
      </c>
      <c r="Q783" s="11">
        <f t="shared" si="61"/>
        <v>1.0559478388473853</v>
      </c>
      <c r="R783" s="13">
        <f t="shared" si="62"/>
        <v>89.439378531073444</v>
      </c>
      <c r="S783" s="4">
        <f t="shared" si="63"/>
        <v>1.1145080119286681</v>
      </c>
      <c r="T783" s="19" t="str">
        <f t="shared" si="64"/>
        <v>🟡 Mid</v>
      </c>
    </row>
    <row r="784" spans="1:20" x14ac:dyDescent="0.3">
      <c r="A784" s="16">
        <v>783</v>
      </c>
      <c r="B784" s="1" t="s">
        <v>73</v>
      </c>
      <c r="C784" s="1" t="s">
        <v>21</v>
      </c>
      <c r="D784" s="1" t="s">
        <v>13</v>
      </c>
      <c r="E784" s="1" t="s">
        <v>30</v>
      </c>
      <c r="F784" s="1" t="s">
        <v>47</v>
      </c>
      <c r="G784" s="1" t="s">
        <v>43</v>
      </c>
      <c r="H784" s="1" t="s">
        <v>81</v>
      </c>
      <c r="I784" s="1" t="s">
        <v>34</v>
      </c>
      <c r="J784" s="5">
        <v>2023</v>
      </c>
      <c r="K784" s="1">
        <v>3836.63</v>
      </c>
      <c r="L784" s="1">
        <v>52828</v>
      </c>
      <c r="M784" s="1">
        <v>155</v>
      </c>
      <c r="N784" s="1">
        <v>14</v>
      </c>
      <c r="O784" s="1">
        <v>3819.98</v>
      </c>
      <c r="P784" s="8">
        <f t="shared" si="60"/>
        <v>0.2934050124933747</v>
      </c>
      <c r="Q784" s="10">
        <f t="shared" si="61"/>
        <v>24.645032258064518</v>
      </c>
      <c r="R784" s="12">
        <f t="shared" si="62"/>
        <v>272.85571428571427</v>
      </c>
      <c r="S784" s="2">
        <f t="shared" si="63"/>
        <v>1.004358661563673</v>
      </c>
      <c r="T784" s="18" t="str">
        <f t="shared" si="64"/>
        <v>🔴 Low</v>
      </c>
    </row>
    <row r="785" spans="1:20" x14ac:dyDescent="0.3">
      <c r="A785" s="17">
        <v>784</v>
      </c>
      <c r="B785" s="3" t="s">
        <v>102</v>
      </c>
      <c r="C785" s="3" t="s">
        <v>40</v>
      </c>
      <c r="D785" s="3" t="s">
        <v>13</v>
      </c>
      <c r="E785" s="3" t="s">
        <v>42</v>
      </c>
      <c r="F785" s="3" t="s">
        <v>31</v>
      </c>
      <c r="G785" s="3" t="s">
        <v>25</v>
      </c>
      <c r="H785" s="3" t="s">
        <v>83</v>
      </c>
      <c r="I785" s="3" t="s">
        <v>38</v>
      </c>
      <c r="J785" s="6">
        <v>2023</v>
      </c>
      <c r="K785" s="3">
        <v>527.29999999999995</v>
      </c>
      <c r="L785" s="3">
        <v>369340</v>
      </c>
      <c r="M785" s="3">
        <v>5588</v>
      </c>
      <c r="N785" s="3">
        <v>526</v>
      </c>
      <c r="O785" s="3">
        <v>531.69000000000005</v>
      </c>
      <c r="P785" s="9">
        <f t="shared" si="60"/>
        <v>1.5129690799805058</v>
      </c>
      <c r="Q785" s="11">
        <f t="shared" si="61"/>
        <v>9.5148532569792416E-2</v>
      </c>
      <c r="R785" s="13">
        <f t="shared" si="62"/>
        <v>1.0108174904942966</v>
      </c>
      <c r="S785" s="4">
        <f t="shared" si="63"/>
        <v>0.99174330907107511</v>
      </c>
      <c r="T785" s="19" t="str">
        <f t="shared" si="64"/>
        <v>🟡 Mid</v>
      </c>
    </row>
    <row r="786" spans="1:20" x14ac:dyDescent="0.3">
      <c r="A786" s="16">
        <v>785</v>
      </c>
      <c r="B786" s="1" t="s">
        <v>39</v>
      </c>
      <c r="C786" s="1" t="s">
        <v>40</v>
      </c>
      <c r="D786" s="1" t="s">
        <v>29</v>
      </c>
      <c r="E786" s="1" t="s">
        <v>23</v>
      </c>
      <c r="F786" s="1" t="s">
        <v>31</v>
      </c>
      <c r="G786" s="1" t="s">
        <v>25</v>
      </c>
      <c r="H786" s="1" t="s">
        <v>33</v>
      </c>
      <c r="I786" s="1" t="s">
        <v>34</v>
      </c>
      <c r="J786" s="5">
        <v>2024</v>
      </c>
      <c r="K786" s="1">
        <v>6830.39</v>
      </c>
      <c r="L786" s="1">
        <v>65045</v>
      </c>
      <c r="M786" s="1">
        <v>1007</v>
      </c>
      <c r="N786" s="1">
        <v>20</v>
      </c>
      <c r="O786" s="1">
        <v>6193.8</v>
      </c>
      <c r="P786" s="8">
        <f t="shared" si="60"/>
        <v>1.5481589668690907</v>
      </c>
      <c r="Q786" s="10">
        <f t="shared" si="61"/>
        <v>6.1507447864945384</v>
      </c>
      <c r="R786" s="12">
        <f t="shared" si="62"/>
        <v>309.69</v>
      </c>
      <c r="S786" s="2">
        <f t="shared" si="63"/>
        <v>1.1027785850366496</v>
      </c>
      <c r="T786" s="18" t="str">
        <f t="shared" si="64"/>
        <v>🟡 Mid</v>
      </c>
    </row>
    <row r="787" spans="1:20" x14ac:dyDescent="0.3">
      <c r="A787" s="17">
        <v>786</v>
      </c>
      <c r="B787" s="3" t="s">
        <v>92</v>
      </c>
      <c r="C787" s="3" t="s">
        <v>40</v>
      </c>
      <c r="D787" s="3" t="s">
        <v>13</v>
      </c>
      <c r="E787" s="3" t="s">
        <v>42</v>
      </c>
      <c r="F787" s="3" t="s">
        <v>31</v>
      </c>
      <c r="G787" s="3" t="s">
        <v>32</v>
      </c>
      <c r="H787" s="3" t="s">
        <v>58</v>
      </c>
      <c r="I787" s="3" t="s">
        <v>27</v>
      </c>
      <c r="J787" s="6">
        <v>2024</v>
      </c>
      <c r="K787" s="3">
        <v>18940.3</v>
      </c>
      <c r="L787" s="3">
        <v>274845</v>
      </c>
      <c r="M787" s="3">
        <v>4256</v>
      </c>
      <c r="N787" s="3">
        <v>471</v>
      </c>
      <c r="O787" s="3">
        <v>16410.03</v>
      </c>
      <c r="P787" s="9">
        <f t="shared" si="60"/>
        <v>1.548509159708199</v>
      </c>
      <c r="Q787" s="11">
        <f t="shared" si="61"/>
        <v>3.8557401315789472</v>
      </c>
      <c r="R787" s="13">
        <f t="shared" si="62"/>
        <v>34.840828025477705</v>
      </c>
      <c r="S787" s="4">
        <f t="shared" si="63"/>
        <v>1.1541904554714404</v>
      </c>
      <c r="T787" s="19" t="str">
        <f t="shared" si="64"/>
        <v>🟡 Mid</v>
      </c>
    </row>
    <row r="788" spans="1:20" x14ac:dyDescent="0.3">
      <c r="A788" s="16">
        <v>787</v>
      </c>
      <c r="B788" s="1" t="s">
        <v>63</v>
      </c>
      <c r="C788" s="1" t="s">
        <v>21</v>
      </c>
      <c r="D788" s="1" t="s">
        <v>41</v>
      </c>
      <c r="E788" s="1" t="s">
        <v>30</v>
      </c>
      <c r="F788" s="1" t="s">
        <v>47</v>
      </c>
      <c r="G788" s="1" t="s">
        <v>43</v>
      </c>
      <c r="H788" s="1" t="s">
        <v>83</v>
      </c>
      <c r="I788" s="1" t="s">
        <v>38</v>
      </c>
      <c r="J788" s="5">
        <v>2024</v>
      </c>
      <c r="K788" s="1">
        <v>3535.01</v>
      </c>
      <c r="L788" s="1">
        <v>247979</v>
      </c>
      <c r="M788" s="1">
        <v>1568</v>
      </c>
      <c r="N788" s="1">
        <v>112</v>
      </c>
      <c r="O788" s="1">
        <v>2832.19</v>
      </c>
      <c r="P788" s="8">
        <f t="shared" si="60"/>
        <v>0.63231160703124056</v>
      </c>
      <c r="Q788" s="10">
        <f t="shared" si="61"/>
        <v>1.8062436224489797</v>
      </c>
      <c r="R788" s="12">
        <f t="shared" si="62"/>
        <v>25.287410714285716</v>
      </c>
      <c r="S788" s="2">
        <f t="shared" si="63"/>
        <v>1.2481542551876816</v>
      </c>
      <c r="T788" s="18" t="str">
        <f t="shared" si="64"/>
        <v>🔴 Low</v>
      </c>
    </row>
    <row r="789" spans="1:20" x14ac:dyDescent="0.3">
      <c r="A789" s="17">
        <v>788</v>
      </c>
      <c r="B789" s="3" t="s">
        <v>92</v>
      </c>
      <c r="C789" s="3" t="s">
        <v>40</v>
      </c>
      <c r="D789" s="3" t="s">
        <v>41</v>
      </c>
      <c r="E789" s="3" t="s">
        <v>30</v>
      </c>
      <c r="F789" s="3" t="s">
        <v>24</v>
      </c>
      <c r="G789" s="3" t="s">
        <v>25</v>
      </c>
      <c r="H789" s="3" t="s">
        <v>79</v>
      </c>
      <c r="I789" s="3" t="s">
        <v>45</v>
      </c>
      <c r="J789" s="6">
        <v>2024</v>
      </c>
      <c r="K789" s="3">
        <v>18895.419999999998</v>
      </c>
      <c r="L789" s="3">
        <v>194170</v>
      </c>
      <c r="M789" s="3">
        <v>2079</v>
      </c>
      <c r="N789" s="3">
        <v>232</v>
      </c>
      <c r="O789" s="3">
        <v>11504.29</v>
      </c>
      <c r="P789" s="9">
        <f t="shared" si="60"/>
        <v>1.0707112324251944</v>
      </c>
      <c r="Q789" s="11">
        <f t="shared" si="61"/>
        <v>5.533569023569024</v>
      </c>
      <c r="R789" s="13">
        <f t="shared" si="62"/>
        <v>49.587456896551728</v>
      </c>
      <c r="S789" s="4">
        <f t="shared" si="63"/>
        <v>1.6424672882898463</v>
      </c>
      <c r="T789" s="19" t="str">
        <f t="shared" si="64"/>
        <v>🔴 Low</v>
      </c>
    </row>
    <row r="790" spans="1:20" x14ac:dyDescent="0.3">
      <c r="A790" s="16">
        <v>789</v>
      </c>
      <c r="B790" s="1" t="s">
        <v>55</v>
      </c>
      <c r="C790" s="1" t="s">
        <v>36</v>
      </c>
      <c r="D790" s="1" t="s">
        <v>41</v>
      </c>
      <c r="E790" s="1" t="s">
        <v>61</v>
      </c>
      <c r="F790" s="1" t="s">
        <v>24</v>
      </c>
      <c r="G790" s="1" t="s">
        <v>57</v>
      </c>
      <c r="H790" s="1" t="s">
        <v>26</v>
      </c>
      <c r="I790" s="1" t="s">
        <v>27</v>
      </c>
      <c r="J790" s="5">
        <v>2023</v>
      </c>
      <c r="K790" s="1">
        <v>8814.7000000000007</v>
      </c>
      <c r="L790" s="1">
        <v>482127</v>
      </c>
      <c r="M790" s="1">
        <v>18880</v>
      </c>
      <c r="N790" s="1">
        <v>1284</v>
      </c>
      <c r="O790" s="1">
        <v>7239.05</v>
      </c>
      <c r="P790" s="8">
        <f t="shared" si="60"/>
        <v>3.9159806441041467</v>
      </c>
      <c r="Q790" s="10">
        <f t="shared" si="61"/>
        <v>0.38342425847457628</v>
      </c>
      <c r="R790" s="12">
        <f t="shared" si="62"/>
        <v>5.6378894080996886</v>
      </c>
      <c r="S790" s="2">
        <f t="shared" si="63"/>
        <v>1.2176597757993108</v>
      </c>
      <c r="T790" s="18" t="str">
        <f t="shared" si="64"/>
        <v>🟢 High</v>
      </c>
    </row>
    <row r="791" spans="1:20" x14ac:dyDescent="0.3">
      <c r="A791" s="17">
        <v>790</v>
      </c>
      <c r="B791" s="3" t="s">
        <v>28</v>
      </c>
      <c r="C791" s="3" t="s">
        <v>21</v>
      </c>
      <c r="D791" s="3" t="s">
        <v>29</v>
      </c>
      <c r="E791" s="3" t="s">
        <v>42</v>
      </c>
      <c r="F791" s="3" t="s">
        <v>47</v>
      </c>
      <c r="G791" s="3" t="s">
        <v>50</v>
      </c>
      <c r="H791" s="3" t="s">
        <v>68</v>
      </c>
      <c r="I791" s="3" t="s">
        <v>27</v>
      </c>
      <c r="J791" s="6">
        <v>2023</v>
      </c>
      <c r="K791" s="3">
        <v>16617.96</v>
      </c>
      <c r="L791" s="3">
        <v>680788</v>
      </c>
      <c r="M791" s="3">
        <v>340</v>
      </c>
      <c r="N791" s="3">
        <v>12</v>
      </c>
      <c r="O791" s="3">
        <v>10893.33</v>
      </c>
      <c r="P791" s="9">
        <f t="shared" si="60"/>
        <v>4.9942125889410507E-2</v>
      </c>
      <c r="Q791" s="11">
        <f t="shared" si="61"/>
        <v>32.039205882352938</v>
      </c>
      <c r="R791" s="13">
        <f t="shared" si="62"/>
        <v>907.77750000000003</v>
      </c>
      <c r="S791" s="4">
        <f t="shared" si="63"/>
        <v>1.5255169906722736</v>
      </c>
      <c r="T791" s="19" t="str">
        <f t="shared" si="64"/>
        <v>🔴 Low</v>
      </c>
    </row>
    <row r="792" spans="1:20" x14ac:dyDescent="0.3">
      <c r="A792" s="16">
        <v>791</v>
      </c>
      <c r="B792" s="1" t="s">
        <v>94</v>
      </c>
      <c r="C792" s="1" t="s">
        <v>36</v>
      </c>
      <c r="D792" s="1" t="s">
        <v>46</v>
      </c>
      <c r="E792" s="1" t="s">
        <v>61</v>
      </c>
      <c r="F792" s="1" t="s">
        <v>24</v>
      </c>
      <c r="G792" s="1" t="s">
        <v>57</v>
      </c>
      <c r="H792" s="1" t="s">
        <v>58</v>
      </c>
      <c r="I792" s="1" t="s">
        <v>27</v>
      </c>
      <c r="J792" s="5">
        <v>2024</v>
      </c>
      <c r="K792" s="1">
        <v>17128.04</v>
      </c>
      <c r="L792" s="1">
        <v>94092</v>
      </c>
      <c r="M792" s="1">
        <v>2793</v>
      </c>
      <c r="N792" s="1">
        <v>206</v>
      </c>
      <c r="O792" s="1">
        <v>13473.21</v>
      </c>
      <c r="P792" s="8">
        <f t="shared" si="60"/>
        <v>2.9683713812013774</v>
      </c>
      <c r="Q792" s="10">
        <f t="shared" si="61"/>
        <v>4.8239205155746507</v>
      </c>
      <c r="R792" s="12">
        <f t="shared" si="62"/>
        <v>65.403932038834952</v>
      </c>
      <c r="S792" s="2">
        <f t="shared" si="63"/>
        <v>1.2712664613703788</v>
      </c>
      <c r="T792" s="18" t="str">
        <f t="shared" si="64"/>
        <v>🟡 Mid</v>
      </c>
    </row>
    <row r="793" spans="1:20" x14ac:dyDescent="0.3">
      <c r="A793" s="17">
        <v>792</v>
      </c>
      <c r="B793" s="3" t="s">
        <v>94</v>
      </c>
      <c r="C793" s="3" t="s">
        <v>36</v>
      </c>
      <c r="D793" s="3" t="s">
        <v>13</v>
      </c>
      <c r="E793" s="3" t="s">
        <v>56</v>
      </c>
      <c r="F793" s="3" t="s">
        <v>24</v>
      </c>
      <c r="G793" s="3" t="s">
        <v>25</v>
      </c>
      <c r="H793" s="3" t="s">
        <v>68</v>
      </c>
      <c r="I793" s="3" t="s">
        <v>27</v>
      </c>
      <c r="J793" s="6">
        <v>2024</v>
      </c>
      <c r="K793" s="3">
        <v>12735.97</v>
      </c>
      <c r="L793" s="3">
        <v>134054</v>
      </c>
      <c r="M793" s="3">
        <v>4486</v>
      </c>
      <c r="N793" s="3">
        <v>230</v>
      </c>
      <c r="O793" s="3">
        <v>7879.76</v>
      </c>
      <c r="P793" s="9">
        <f t="shared" si="60"/>
        <v>3.3464126396825158</v>
      </c>
      <c r="Q793" s="11">
        <f t="shared" si="61"/>
        <v>1.7565225144895229</v>
      </c>
      <c r="R793" s="13">
        <f t="shared" si="62"/>
        <v>34.259826086956522</v>
      </c>
      <c r="S793" s="4">
        <f t="shared" si="63"/>
        <v>1.6162890747941561</v>
      </c>
      <c r="T793" s="19" t="str">
        <f t="shared" si="64"/>
        <v>🟢 High</v>
      </c>
    </row>
    <row r="794" spans="1:20" x14ac:dyDescent="0.3">
      <c r="A794" s="16">
        <v>793</v>
      </c>
      <c r="B794" s="1" t="s">
        <v>73</v>
      </c>
      <c r="C794" s="1" t="s">
        <v>21</v>
      </c>
      <c r="D794" s="1" t="s">
        <v>22</v>
      </c>
      <c r="E794" s="1" t="s">
        <v>61</v>
      </c>
      <c r="F794" s="1" t="s">
        <v>47</v>
      </c>
      <c r="G794" s="1" t="s">
        <v>25</v>
      </c>
      <c r="H794" s="1" t="s">
        <v>68</v>
      </c>
      <c r="I794" s="1" t="s">
        <v>27</v>
      </c>
      <c r="J794" s="5">
        <v>2023</v>
      </c>
      <c r="K794" s="1">
        <v>968.02</v>
      </c>
      <c r="L794" s="1">
        <v>452883</v>
      </c>
      <c r="M794" s="1">
        <v>1580</v>
      </c>
      <c r="N794" s="1">
        <v>14</v>
      </c>
      <c r="O794" s="1">
        <v>955.54</v>
      </c>
      <c r="P794" s="8">
        <f t="shared" si="60"/>
        <v>0.34887597900561512</v>
      </c>
      <c r="Q794" s="10">
        <f t="shared" si="61"/>
        <v>0.60477215189873412</v>
      </c>
      <c r="R794" s="12">
        <f t="shared" si="62"/>
        <v>68.252857142857138</v>
      </c>
      <c r="S794" s="2">
        <f t="shared" si="63"/>
        <v>1.0130606777319631</v>
      </c>
      <c r="T794" s="18" t="str">
        <f t="shared" si="64"/>
        <v>🔴 Low</v>
      </c>
    </row>
    <row r="795" spans="1:20" x14ac:dyDescent="0.3">
      <c r="A795" s="17">
        <v>794</v>
      </c>
      <c r="B795" s="3" t="s">
        <v>90</v>
      </c>
      <c r="C795" s="3" t="s">
        <v>21</v>
      </c>
      <c r="D795" s="3" t="s">
        <v>22</v>
      </c>
      <c r="E795" s="3" t="s">
        <v>56</v>
      </c>
      <c r="F795" s="3" t="s">
        <v>24</v>
      </c>
      <c r="G795" s="3" t="s">
        <v>57</v>
      </c>
      <c r="H795" s="3" t="s">
        <v>83</v>
      </c>
      <c r="I795" s="3" t="s">
        <v>38</v>
      </c>
      <c r="J795" s="6">
        <v>2023</v>
      </c>
      <c r="K795" s="3">
        <v>19151.099999999999</v>
      </c>
      <c r="L795" s="3">
        <v>300503</v>
      </c>
      <c r="M795" s="3">
        <v>3028</v>
      </c>
      <c r="N795" s="3">
        <v>31</v>
      </c>
      <c r="O795" s="3">
        <v>16442.990000000002</v>
      </c>
      <c r="P795" s="9">
        <f t="shared" si="60"/>
        <v>1.0076438504773662</v>
      </c>
      <c r="Q795" s="11">
        <f t="shared" si="61"/>
        <v>5.4303137384412157</v>
      </c>
      <c r="R795" s="13">
        <f t="shared" si="62"/>
        <v>530.41903225806459</v>
      </c>
      <c r="S795" s="4">
        <f t="shared" si="63"/>
        <v>1.164696931640778</v>
      </c>
      <c r="T795" s="19" t="str">
        <f t="shared" si="64"/>
        <v>🔴 Low</v>
      </c>
    </row>
    <row r="796" spans="1:20" x14ac:dyDescent="0.3">
      <c r="A796" s="16">
        <v>795</v>
      </c>
      <c r="B796" s="1" t="s">
        <v>72</v>
      </c>
      <c r="C796" s="1" t="s">
        <v>36</v>
      </c>
      <c r="D796" s="1" t="s">
        <v>22</v>
      </c>
      <c r="E796" s="1" t="s">
        <v>42</v>
      </c>
      <c r="F796" s="1" t="s">
        <v>31</v>
      </c>
      <c r="G796" s="1" t="s">
        <v>25</v>
      </c>
      <c r="H796" s="1" t="s">
        <v>26</v>
      </c>
      <c r="I796" s="1" t="s">
        <v>27</v>
      </c>
      <c r="J796" s="5">
        <v>2024</v>
      </c>
      <c r="K796" s="1">
        <v>10844.37</v>
      </c>
      <c r="L796" s="1">
        <v>633738</v>
      </c>
      <c r="M796" s="1">
        <v>19138</v>
      </c>
      <c r="N796" s="1">
        <v>352</v>
      </c>
      <c r="O796" s="1">
        <v>9636.39</v>
      </c>
      <c r="P796" s="8">
        <f t="shared" si="60"/>
        <v>3.019859942121192</v>
      </c>
      <c r="Q796" s="10">
        <f t="shared" si="61"/>
        <v>0.50352126659003027</v>
      </c>
      <c r="R796" s="12">
        <f t="shared" si="62"/>
        <v>27.376107954545454</v>
      </c>
      <c r="S796" s="2">
        <f t="shared" si="63"/>
        <v>1.1253560721390481</v>
      </c>
      <c r="T796" s="18" t="str">
        <f t="shared" si="64"/>
        <v>🟢 High</v>
      </c>
    </row>
    <row r="797" spans="1:20" x14ac:dyDescent="0.3">
      <c r="A797" s="17">
        <v>796</v>
      </c>
      <c r="B797" s="3" t="s">
        <v>59</v>
      </c>
      <c r="C797" s="3" t="s">
        <v>21</v>
      </c>
      <c r="D797" s="3" t="s">
        <v>13</v>
      </c>
      <c r="E797" s="3" t="s">
        <v>42</v>
      </c>
      <c r="F797" s="3" t="s">
        <v>47</v>
      </c>
      <c r="G797" s="3" t="s">
        <v>50</v>
      </c>
      <c r="H797" s="3" t="s">
        <v>44</v>
      </c>
      <c r="I797" s="3" t="s">
        <v>45</v>
      </c>
      <c r="J797" s="6">
        <v>2024</v>
      </c>
      <c r="K797" s="3">
        <v>18691.2</v>
      </c>
      <c r="L797" s="3">
        <v>750859</v>
      </c>
      <c r="M797" s="3">
        <v>8845</v>
      </c>
      <c r="N797" s="3">
        <v>936</v>
      </c>
      <c r="O797" s="3">
        <v>17407.48</v>
      </c>
      <c r="P797" s="9">
        <f t="shared" si="60"/>
        <v>1.1779841488215497</v>
      </c>
      <c r="Q797" s="11">
        <f t="shared" si="61"/>
        <v>1.9680587902769926</v>
      </c>
      <c r="R797" s="13">
        <f t="shared" si="62"/>
        <v>18.597735042735042</v>
      </c>
      <c r="S797" s="4">
        <f t="shared" si="63"/>
        <v>1.0737453094876457</v>
      </c>
      <c r="T797" s="19" t="str">
        <f t="shared" si="64"/>
        <v>🔴 Low</v>
      </c>
    </row>
    <row r="798" spans="1:20" x14ac:dyDescent="0.3">
      <c r="A798" s="16">
        <v>797</v>
      </c>
      <c r="B798" s="1" t="s">
        <v>65</v>
      </c>
      <c r="C798" s="1" t="s">
        <v>36</v>
      </c>
      <c r="D798" s="1" t="s">
        <v>13</v>
      </c>
      <c r="E798" s="1" t="s">
        <v>30</v>
      </c>
      <c r="F798" s="1" t="s">
        <v>47</v>
      </c>
      <c r="G798" s="1" t="s">
        <v>50</v>
      </c>
      <c r="H798" s="1" t="s">
        <v>54</v>
      </c>
      <c r="I798" s="1" t="s">
        <v>45</v>
      </c>
      <c r="J798" s="5">
        <v>2024</v>
      </c>
      <c r="K798" s="1">
        <v>16385.669999999998</v>
      </c>
      <c r="L798" s="1">
        <v>123661</v>
      </c>
      <c r="M798" s="1">
        <v>2079</v>
      </c>
      <c r="N798" s="1">
        <v>144</v>
      </c>
      <c r="O798" s="1">
        <v>10453.86</v>
      </c>
      <c r="P798" s="8">
        <f t="shared" si="60"/>
        <v>1.6812091120078279</v>
      </c>
      <c r="Q798" s="10">
        <f t="shared" si="61"/>
        <v>5.028311688311689</v>
      </c>
      <c r="R798" s="12">
        <f t="shared" si="62"/>
        <v>72.596249999999998</v>
      </c>
      <c r="S798" s="2">
        <f t="shared" si="63"/>
        <v>1.5674277252612907</v>
      </c>
      <c r="T798" s="18" t="str">
        <f t="shared" si="64"/>
        <v>🟡 Mid</v>
      </c>
    </row>
    <row r="799" spans="1:20" x14ac:dyDescent="0.3">
      <c r="A799" s="17">
        <v>798</v>
      </c>
      <c r="B799" s="3" t="s">
        <v>65</v>
      </c>
      <c r="C799" s="3" t="s">
        <v>36</v>
      </c>
      <c r="D799" s="3" t="s">
        <v>41</v>
      </c>
      <c r="E799" s="3" t="s">
        <v>23</v>
      </c>
      <c r="F799" s="3" t="s">
        <v>47</v>
      </c>
      <c r="G799" s="3" t="s">
        <v>50</v>
      </c>
      <c r="H799" s="3" t="s">
        <v>33</v>
      </c>
      <c r="I799" s="3" t="s">
        <v>34</v>
      </c>
      <c r="J799" s="6">
        <v>2024</v>
      </c>
      <c r="K799" s="3">
        <v>14021.71</v>
      </c>
      <c r="L799" s="3">
        <v>439052</v>
      </c>
      <c r="M799" s="3">
        <v>9680</v>
      </c>
      <c r="N799" s="3">
        <v>1046</v>
      </c>
      <c r="O799" s="3">
        <v>12162.06</v>
      </c>
      <c r="P799" s="9">
        <f t="shared" si="60"/>
        <v>2.2047502345963577</v>
      </c>
      <c r="Q799" s="11">
        <f t="shared" si="61"/>
        <v>1.2564111570247933</v>
      </c>
      <c r="R799" s="13">
        <f t="shared" si="62"/>
        <v>11.627208413001911</v>
      </c>
      <c r="S799" s="4">
        <f t="shared" si="63"/>
        <v>1.1529058399646113</v>
      </c>
      <c r="T799" s="19" t="str">
        <f t="shared" si="64"/>
        <v>🟡 Mid</v>
      </c>
    </row>
    <row r="800" spans="1:20" x14ac:dyDescent="0.3">
      <c r="A800" s="16">
        <v>799</v>
      </c>
      <c r="B800" s="1" t="s">
        <v>97</v>
      </c>
      <c r="C800" s="1" t="s">
        <v>36</v>
      </c>
      <c r="D800" s="1" t="s">
        <v>41</v>
      </c>
      <c r="E800" s="1" t="s">
        <v>56</v>
      </c>
      <c r="F800" s="1" t="s">
        <v>31</v>
      </c>
      <c r="G800" s="1" t="s">
        <v>50</v>
      </c>
      <c r="H800" s="1" t="s">
        <v>81</v>
      </c>
      <c r="I800" s="1" t="s">
        <v>34</v>
      </c>
      <c r="J800" s="5">
        <v>2024</v>
      </c>
      <c r="K800" s="1">
        <v>10883.25</v>
      </c>
      <c r="L800" s="1">
        <v>246292</v>
      </c>
      <c r="M800" s="1">
        <v>5680</v>
      </c>
      <c r="N800" s="1">
        <v>532</v>
      </c>
      <c r="O800" s="1">
        <v>9171.4</v>
      </c>
      <c r="P800" s="8">
        <f t="shared" si="60"/>
        <v>2.3062056420833805</v>
      </c>
      <c r="Q800" s="10">
        <f t="shared" si="61"/>
        <v>1.6146830985915492</v>
      </c>
      <c r="R800" s="12">
        <f t="shared" si="62"/>
        <v>17.239473684210527</v>
      </c>
      <c r="S800" s="2">
        <f t="shared" si="63"/>
        <v>1.1866508929934361</v>
      </c>
      <c r="T800" s="18" t="str">
        <f t="shared" si="64"/>
        <v>🟡 Mid</v>
      </c>
    </row>
    <row r="801" spans="1:20" x14ac:dyDescent="0.3">
      <c r="A801" s="17">
        <v>800</v>
      </c>
      <c r="B801" s="3" t="s">
        <v>64</v>
      </c>
      <c r="C801" s="3" t="s">
        <v>21</v>
      </c>
      <c r="D801" s="3" t="s">
        <v>22</v>
      </c>
      <c r="E801" s="3" t="s">
        <v>30</v>
      </c>
      <c r="F801" s="3" t="s">
        <v>47</v>
      </c>
      <c r="G801" s="3" t="s">
        <v>57</v>
      </c>
      <c r="H801" s="3" t="s">
        <v>83</v>
      </c>
      <c r="I801" s="3" t="s">
        <v>38</v>
      </c>
      <c r="J801" s="6">
        <v>2023</v>
      </c>
      <c r="K801" s="3">
        <v>7566.77</v>
      </c>
      <c r="L801" s="3">
        <v>501947</v>
      </c>
      <c r="M801" s="3">
        <v>5708</v>
      </c>
      <c r="N801" s="3">
        <v>110</v>
      </c>
      <c r="O801" s="3">
        <v>7466.74</v>
      </c>
      <c r="P801" s="9">
        <f t="shared" si="60"/>
        <v>1.1371718528051766</v>
      </c>
      <c r="Q801" s="11">
        <f t="shared" si="61"/>
        <v>1.3081184302733007</v>
      </c>
      <c r="R801" s="13">
        <f t="shared" si="62"/>
        <v>67.87945454545455</v>
      </c>
      <c r="S801" s="4">
        <f t="shared" si="63"/>
        <v>1.0133967434248414</v>
      </c>
      <c r="T801" s="19" t="str">
        <f t="shared" si="64"/>
        <v>🔴 Low</v>
      </c>
    </row>
    <row r="802" spans="1:20" x14ac:dyDescent="0.3">
      <c r="A802" s="16">
        <v>801</v>
      </c>
      <c r="B802" s="1" t="s">
        <v>72</v>
      </c>
      <c r="C802" s="1" t="s">
        <v>36</v>
      </c>
      <c r="D802" s="1" t="s">
        <v>13</v>
      </c>
      <c r="E802" s="1" t="s">
        <v>30</v>
      </c>
      <c r="F802" s="1" t="s">
        <v>47</v>
      </c>
      <c r="G802" s="1" t="s">
        <v>50</v>
      </c>
      <c r="H802" s="1" t="s">
        <v>26</v>
      </c>
      <c r="I802" s="1" t="s">
        <v>27</v>
      </c>
      <c r="J802" s="5">
        <v>2024</v>
      </c>
      <c r="K802" s="1">
        <v>5228.7</v>
      </c>
      <c r="L802" s="1">
        <v>240496</v>
      </c>
      <c r="M802" s="1">
        <v>7348</v>
      </c>
      <c r="N802" s="1">
        <v>862</v>
      </c>
      <c r="O802" s="1">
        <v>4683.16</v>
      </c>
      <c r="P802" s="8">
        <f t="shared" si="60"/>
        <v>3.0553522719712594</v>
      </c>
      <c r="Q802" s="10">
        <f t="shared" si="61"/>
        <v>0.63733805117038644</v>
      </c>
      <c r="R802" s="12">
        <f t="shared" si="62"/>
        <v>5.4329002320185618</v>
      </c>
      <c r="S802" s="2">
        <f t="shared" si="63"/>
        <v>1.1164897206159943</v>
      </c>
      <c r="T802" s="18" t="str">
        <f t="shared" si="64"/>
        <v>🟢 High</v>
      </c>
    </row>
    <row r="803" spans="1:20" x14ac:dyDescent="0.3">
      <c r="A803" s="17">
        <v>802</v>
      </c>
      <c r="B803" s="3" t="s">
        <v>51</v>
      </c>
      <c r="C803" s="3" t="s">
        <v>40</v>
      </c>
      <c r="D803" s="3" t="s">
        <v>41</v>
      </c>
      <c r="E803" s="3" t="s">
        <v>23</v>
      </c>
      <c r="F803" s="3" t="s">
        <v>24</v>
      </c>
      <c r="G803" s="3" t="s">
        <v>57</v>
      </c>
      <c r="H803" s="3" t="s">
        <v>44</v>
      </c>
      <c r="I803" s="3" t="s">
        <v>45</v>
      </c>
      <c r="J803" s="6">
        <v>2023</v>
      </c>
      <c r="K803" s="3">
        <v>9798.1200000000008</v>
      </c>
      <c r="L803" s="3">
        <v>627776</v>
      </c>
      <c r="M803" s="3">
        <v>10632</v>
      </c>
      <c r="N803" s="3">
        <v>1378</v>
      </c>
      <c r="O803" s="3">
        <v>6003.09</v>
      </c>
      <c r="P803" s="9">
        <f t="shared" si="60"/>
        <v>1.6935977163829135</v>
      </c>
      <c r="Q803" s="11">
        <f t="shared" si="61"/>
        <v>0.56462471783295709</v>
      </c>
      <c r="R803" s="13">
        <f t="shared" si="62"/>
        <v>4.3563788098693763</v>
      </c>
      <c r="S803" s="4">
        <f t="shared" si="63"/>
        <v>1.6321794275947887</v>
      </c>
      <c r="T803" s="19" t="str">
        <f t="shared" si="64"/>
        <v>🟡 Mid</v>
      </c>
    </row>
    <row r="804" spans="1:20" x14ac:dyDescent="0.3">
      <c r="A804" s="16">
        <v>803</v>
      </c>
      <c r="B804" s="1" t="s">
        <v>92</v>
      </c>
      <c r="C804" s="1" t="s">
        <v>40</v>
      </c>
      <c r="D804" s="1" t="s">
        <v>22</v>
      </c>
      <c r="E804" s="1" t="s">
        <v>30</v>
      </c>
      <c r="F804" s="1" t="s">
        <v>24</v>
      </c>
      <c r="G804" s="1" t="s">
        <v>57</v>
      </c>
      <c r="H804" s="1" t="s">
        <v>79</v>
      </c>
      <c r="I804" s="1" t="s">
        <v>45</v>
      </c>
      <c r="J804" s="5">
        <v>2024</v>
      </c>
      <c r="K804" s="1">
        <v>3419.49</v>
      </c>
      <c r="L804" s="1">
        <v>196285</v>
      </c>
      <c r="M804" s="1">
        <v>2611</v>
      </c>
      <c r="N804" s="1">
        <v>33</v>
      </c>
      <c r="O804" s="1">
        <v>3414.3</v>
      </c>
      <c r="P804" s="8">
        <f t="shared" si="60"/>
        <v>1.3302086252133378</v>
      </c>
      <c r="Q804" s="10">
        <f t="shared" si="61"/>
        <v>1.3076599004212945</v>
      </c>
      <c r="R804" s="12">
        <f t="shared" si="62"/>
        <v>103.46363636363637</v>
      </c>
      <c r="S804" s="2">
        <f t="shared" si="63"/>
        <v>1.001520077321852</v>
      </c>
      <c r="T804" s="18" t="str">
        <f t="shared" si="64"/>
        <v>🔴 Low</v>
      </c>
    </row>
    <row r="805" spans="1:20" x14ac:dyDescent="0.3">
      <c r="A805" s="17">
        <v>804</v>
      </c>
      <c r="B805" s="3" t="s">
        <v>80</v>
      </c>
      <c r="C805" s="3" t="s">
        <v>40</v>
      </c>
      <c r="D805" s="3" t="s">
        <v>13</v>
      </c>
      <c r="E805" s="3" t="s">
        <v>56</v>
      </c>
      <c r="F805" s="3" t="s">
        <v>31</v>
      </c>
      <c r="G805" s="3" t="s">
        <v>57</v>
      </c>
      <c r="H805" s="3" t="s">
        <v>52</v>
      </c>
      <c r="I805" s="3" t="s">
        <v>38</v>
      </c>
      <c r="J805" s="6">
        <v>2023</v>
      </c>
      <c r="K805" s="3">
        <v>3539.8</v>
      </c>
      <c r="L805" s="3">
        <v>678662</v>
      </c>
      <c r="M805" s="3">
        <v>11210</v>
      </c>
      <c r="N805" s="3">
        <v>585</v>
      </c>
      <c r="O805" s="3">
        <v>3240.6</v>
      </c>
      <c r="P805" s="9">
        <f t="shared" si="60"/>
        <v>1.6517795309005074</v>
      </c>
      <c r="Q805" s="11">
        <f t="shared" si="61"/>
        <v>0.28908117752007134</v>
      </c>
      <c r="R805" s="13">
        <f t="shared" si="62"/>
        <v>5.5394871794871792</v>
      </c>
      <c r="S805" s="4">
        <f t="shared" si="63"/>
        <v>1.0923285811269519</v>
      </c>
      <c r="T805" s="19" t="str">
        <f t="shared" si="64"/>
        <v>🟡 Mid</v>
      </c>
    </row>
    <row r="806" spans="1:20" x14ac:dyDescent="0.3">
      <c r="A806" s="16">
        <v>805</v>
      </c>
      <c r="B806" s="1" t="s">
        <v>49</v>
      </c>
      <c r="C806" s="1" t="s">
        <v>21</v>
      </c>
      <c r="D806" s="1" t="s">
        <v>22</v>
      </c>
      <c r="E806" s="1" t="s">
        <v>56</v>
      </c>
      <c r="F806" s="1" t="s">
        <v>47</v>
      </c>
      <c r="G806" s="1" t="s">
        <v>50</v>
      </c>
      <c r="H806" s="1" t="s">
        <v>81</v>
      </c>
      <c r="I806" s="1" t="s">
        <v>34</v>
      </c>
      <c r="J806" s="5">
        <v>2024</v>
      </c>
      <c r="K806" s="1">
        <v>18423.43</v>
      </c>
      <c r="L806" s="1">
        <v>531251</v>
      </c>
      <c r="M806" s="1">
        <v>3060</v>
      </c>
      <c r="N806" s="1">
        <v>58</v>
      </c>
      <c r="O806" s="1">
        <v>13157.42</v>
      </c>
      <c r="P806" s="8">
        <f t="shared" si="60"/>
        <v>0.57599891576674678</v>
      </c>
      <c r="Q806" s="10">
        <f t="shared" si="61"/>
        <v>4.2998104575163403</v>
      </c>
      <c r="R806" s="12">
        <f t="shared" si="62"/>
        <v>226.85206896551725</v>
      </c>
      <c r="S806" s="2">
        <f t="shared" si="63"/>
        <v>1.4002312003417083</v>
      </c>
      <c r="T806" s="18" t="str">
        <f t="shared" si="64"/>
        <v>🔴 Low</v>
      </c>
    </row>
    <row r="807" spans="1:20" x14ac:dyDescent="0.3">
      <c r="A807" s="17">
        <v>806</v>
      </c>
      <c r="B807" s="3" t="s">
        <v>35</v>
      </c>
      <c r="C807" s="3" t="s">
        <v>36</v>
      </c>
      <c r="D807" s="3" t="s">
        <v>46</v>
      </c>
      <c r="E807" s="3" t="s">
        <v>30</v>
      </c>
      <c r="F807" s="3" t="s">
        <v>47</v>
      </c>
      <c r="G807" s="3" t="s">
        <v>32</v>
      </c>
      <c r="H807" s="3" t="s">
        <v>68</v>
      </c>
      <c r="I807" s="3" t="s">
        <v>27</v>
      </c>
      <c r="J807" s="6">
        <v>2023</v>
      </c>
      <c r="K807" s="3">
        <v>8149.67</v>
      </c>
      <c r="L807" s="3">
        <v>787233</v>
      </c>
      <c r="M807" s="3">
        <v>24695</v>
      </c>
      <c r="N807" s="3">
        <v>2433</v>
      </c>
      <c r="O807" s="3">
        <v>6960.92</v>
      </c>
      <c r="P807" s="9">
        <f t="shared" si="60"/>
        <v>3.1369365867538579</v>
      </c>
      <c r="Q807" s="11">
        <f t="shared" si="61"/>
        <v>0.28187568333670782</v>
      </c>
      <c r="R807" s="13">
        <f t="shared" si="62"/>
        <v>2.8610439786272091</v>
      </c>
      <c r="S807" s="4">
        <f t="shared" si="63"/>
        <v>1.1707748401073421</v>
      </c>
      <c r="T807" s="19" t="str">
        <f t="shared" si="64"/>
        <v>🟢 High</v>
      </c>
    </row>
    <row r="808" spans="1:20" x14ac:dyDescent="0.3">
      <c r="A808" s="16">
        <v>807</v>
      </c>
      <c r="B808" s="1" t="s">
        <v>89</v>
      </c>
      <c r="C808" s="1" t="s">
        <v>36</v>
      </c>
      <c r="D808" s="1" t="s">
        <v>41</v>
      </c>
      <c r="E808" s="1" t="s">
        <v>23</v>
      </c>
      <c r="F808" s="1" t="s">
        <v>31</v>
      </c>
      <c r="G808" s="1" t="s">
        <v>50</v>
      </c>
      <c r="H808" s="1" t="s">
        <v>33</v>
      </c>
      <c r="I808" s="1" t="s">
        <v>34</v>
      </c>
      <c r="J808" s="5">
        <v>2023</v>
      </c>
      <c r="K808" s="1">
        <v>1566.1</v>
      </c>
      <c r="L808" s="1">
        <v>394523</v>
      </c>
      <c r="M808" s="1">
        <v>10261</v>
      </c>
      <c r="N808" s="1">
        <v>704</v>
      </c>
      <c r="O808" s="1">
        <v>990.84</v>
      </c>
      <c r="P808" s="8">
        <f t="shared" si="60"/>
        <v>2.6008623071405217</v>
      </c>
      <c r="Q808" s="10">
        <f t="shared" si="61"/>
        <v>9.6563687749731994E-2</v>
      </c>
      <c r="R808" s="12">
        <f t="shared" si="62"/>
        <v>1.4074431818181818</v>
      </c>
      <c r="S808" s="2">
        <f t="shared" si="63"/>
        <v>1.5805780953534374</v>
      </c>
      <c r="T808" s="18" t="str">
        <f t="shared" si="64"/>
        <v>🟡 Mid</v>
      </c>
    </row>
    <row r="809" spans="1:20" x14ac:dyDescent="0.3">
      <c r="A809" s="17">
        <v>808</v>
      </c>
      <c r="B809" s="3" t="s">
        <v>95</v>
      </c>
      <c r="C809" s="3" t="s">
        <v>21</v>
      </c>
      <c r="D809" s="3" t="s">
        <v>22</v>
      </c>
      <c r="E809" s="3" t="s">
        <v>30</v>
      </c>
      <c r="F809" s="3" t="s">
        <v>47</v>
      </c>
      <c r="G809" s="3" t="s">
        <v>25</v>
      </c>
      <c r="H809" s="3" t="s">
        <v>81</v>
      </c>
      <c r="I809" s="3" t="s">
        <v>34</v>
      </c>
      <c r="J809" s="6">
        <v>2023</v>
      </c>
      <c r="K809" s="3">
        <v>1773.72</v>
      </c>
      <c r="L809" s="3">
        <v>631116</v>
      </c>
      <c r="M809" s="3">
        <v>2763</v>
      </c>
      <c r="N809" s="3">
        <v>14</v>
      </c>
      <c r="O809" s="3">
        <v>1741.91</v>
      </c>
      <c r="P809" s="9">
        <f t="shared" si="60"/>
        <v>0.43779590439792365</v>
      </c>
      <c r="Q809" s="11">
        <f t="shared" si="61"/>
        <v>0.63044154904089755</v>
      </c>
      <c r="R809" s="13">
        <f t="shared" si="62"/>
        <v>124.42214285714286</v>
      </c>
      <c r="S809" s="4">
        <f t="shared" si="63"/>
        <v>1.018261563456206</v>
      </c>
      <c r="T809" s="19" t="str">
        <f t="shared" si="64"/>
        <v>🔴 Low</v>
      </c>
    </row>
    <row r="810" spans="1:20" x14ac:dyDescent="0.3">
      <c r="A810" s="16">
        <v>809</v>
      </c>
      <c r="B810" s="1" t="s">
        <v>93</v>
      </c>
      <c r="C810" s="1" t="s">
        <v>36</v>
      </c>
      <c r="D810" s="1" t="s">
        <v>22</v>
      </c>
      <c r="E810" s="1" t="s">
        <v>30</v>
      </c>
      <c r="F810" s="1" t="s">
        <v>47</v>
      </c>
      <c r="G810" s="1" t="s">
        <v>57</v>
      </c>
      <c r="H810" s="1" t="s">
        <v>79</v>
      </c>
      <c r="I810" s="1" t="s">
        <v>45</v>
      </c>
      <c r="J810" s="5">
        <v>2023</v>
      </c>
      <c r="K810" s="1">
        <v>11492.92</v>
      </c>
      <c r="L810" s="1">
        <v>512308</v>
      </c>
      <c r="M810" s="1">
        <v>16479</v>
      </c>
      <c r="N810" s="1">
        <v>315</v>
      </c>
      <c r="O810" s="1">
        <v>6936.68</v>
      </c>
      <c r="P810" s="8">
        <f t="shared" si="60"/>
        <v>3.2166196897179042</v>
      </c>
      <c r="Q810" s="10">
        <f t="shared" si="61"/>
        <v>0.42094059105528248</v>
      </c>
      <c r="R810" s="12">
        <f t="shared" si="62"/>
        <v>22.021206349206349</v>
      </c>
      <c r="S810" s="2">
        <f t="shared" si="63"/>
        <v>1.6568329517867337</v>
      </c>
      <c r="T810" s="18" t="str">
        <f t="shared" si="64"/>
        <v>🟢 High</v>
      </c>
    </row>
    <row r="811" spans="1:20" x14ac:dyDescent="0.3">
      <c r="A811" s="17">
        <v>810</v>
      </c>
      <c r="B811" s="3" t="s">
        <v>77</v>
      </c>
      <c r="C811" s="3" t="s">
        <v>40</v>
      </c>
      <c r="D811" s="3" t="s">
        <v>41</v>
      </c>
      <c r="E811" s="3" t="s">
        <v>61</v>
      </c>
      <c r="F811" s="3" t="s">
        <v>24</v>
      </c>
      <c r="G811" s="3" t="s">
        <v>43</v>
      </c>
      <c r="H811" s="3" t="s">
        <v>33</v>
      </c>
      <c r="I811" s="3" t="s">
        <v>34</v>
      </c>
      <c r="J811" s="6">
        <v>2024</v>
      </c>
      <c r="K811" s="3">
        <v>19490.09</v>
      </c>
      <c r="L811" s="3">
        <v>741789</v>
      </c>
      <c r="M811" s="3">
        <v>12781</v>
      </c>
      <c r="N811" s="3">
        <v>1456</v>
      </c>
      <c r="O811" s="3">
        <v>14406.17</v>
      </c>
      <c r="P811" s="9">
        <f t="shared" si="60"/>
        <v>1.7229967012182708</v>
      </c>
      <c r="Q811" s="11">
        <f t="shared" si="61"/>
        <v>1.1271551521790157</v>
      </c>
      <c r="R811" s="13">
        <f t="shared" si="62"/>
        <v>9.8943475274725277</v>
      </c>
      <c r="S811" s="4">
        <f t="shared" si="63"/>
        <v>1.3528987926700851</v>
      </c>
      <c r="T811" s="19" t="str">
        <f t="shared" si="64"/>
        <v>🟡 Mid</v>
      </c>
    </row>
    <row r="812" spans="1:20" x14ac:dyDescent="0.3">
      <c r="A812" s="16">
        <v>811</v>
      </c>
      <c r="B812" s="1" t="s">
        <v>103</v>
      </c>
      <c r="C812" s="1" t="s">
        <v>21</v>
      </c>
      <c r="D812" s="1" t="s">
        <v>29</v>
      </c>
      <c r="E812" s="1" t="s">
        <v>30</v>
      </c>
      <c r="F812" s="1" t="s">
        <v>24</v>
      </c>
      <c r="G812" s="1" t="s">
        <v>32</v>
      </c>
      <c r="H812" s="1" t="s">
        <v>33</v>
      </c>
      <c r="I812" s="1" t="s">
        <v>34</v>
      </c>
      <c r="J812" s="5">
        <v>2024</v>
      </c>
      <c r="K812" s="1">
        <v>11933.98</v>
      </c>
      <c r="L812" s="1">
        <v>44225</v>
      </c>
      <c r="M812" s="1">
        <v>277</v>
      </c>
      <c r="N812" s="1">
        <v>6</v>
      </c>
      <c r="O812" s="1">
        <v>11597.27</v>
      </c>
      <c r="P812" s="8">
        <f t="shared" si="60"/>
        <v>0.62634256642170716</v>
      </c>
      <c r="Q812" s="10">
        <f t="shared" si="61"/>
        <v>41.867400722021664</v>
      </c>
      <c r="R812" s="12">
        <f t="shared" si="62"/>
        <v>1932.8783333333333</v>
      </c>
      <c r="S812" s="2">
        <f t="shared" si="63"/>
        <v>1.0290335570354057</v>
      </c>
      <c r="T812" s="18" t="str">
        <f t="shared" si="64"/>
        <v>🔴 Low</v>
      </c>
    </row>
    <row r="813" spans="1:20" x14ac:dyDescent="0.3">
      <c r="A813" s="17">
        <v>812</v>
      </c>
      <c r="B813" s="3" t="s">
        <v>97</v>
      </c>
      <c r="C813" s="3" t="s">
        <v>36</v>
      </c>
      <c r="D813" s="3" t="s">
        <v>46</v>
      </c>
      <c r="E813" s="3" t="s">
        <v>30</v>
      </c>
      <c r="F813" s="3" t="s">
        <v>31</v>
      </c>
      <c r="G813" s="3" t="s">
        <v>25</v>
      </c>
      <c r="H813" s="3" t="s">
        <v>81</v>
      </c>
      <c r="I813" s="3" t="s">
        <v>34</v>
      </c>
      <c r="J813" s="6">
        <v>2024</v>
      </c>
      <c r="K813" s="3">
        <v>9225.86</v>
      </c>
      <c r="L813" s="3">
        <v>142570</v>
      </c>
      <c r="M813" s="3">
        <v>4387</v>
      </c>
      <c r="N813" s="3">
        <v>264</v>
      </c>
      <c r="O813" s="3">
        <v>6931.69</v>
      </c>
      <c r="P813" s="9">
        <f t="shared" si="60"/>
        <v>3.0770849407308689</v>
      </c>
      <c r="Q813" s="11">
        <f t="shared" si="61"/>
        <v>1.58005242762708</v>
      </c>
      <c r="R813" s="13">
        <f t="shared" si="62"/>
        <v>26.256401515151513</v>
      </c>
      <c r="S813" s="4">
        <f t="shared" si="63"/>
        <v>1.3309683497098113</v>
      </c>
      <c r="T813" s="19" t="str">
        <f t="shared" si="64"/>
        <v>🟢 High</v>
      </c>
    </row>
    <row r="814" spans="1:20" x14ac:dyDescent="0.3">
      <c r="A814" s="16">
        <v>813</v>
      </c>
      <c r="B814" s="1" t="s">
        <v>51</v>
      </c>
      <c r="C814" s="1" t="s">
        <v>40</v>
      </c>
      <c r="D814" s="1" t="s">
        <v>41</v>
      </c>
      <c r="E814" s="1" t="s">
        <v>30</v>
      </c>
      <c r="F814" s="1" t="s">
        <v>24</v>
      </c>
      <c r="G814" s="1" t="s">
        <v>32</v>
      </c>
      <c r="H814" s="1" t="s">
        <v>79</v>
      </c>
      <c r="I814" s="1" t="s">
        <v>45</v>
      </c>
      <c r="J814" s="5">
        <v>2023</v>
      </c>
      <c r="K814" s="1">
        <v>19181.310000000001</v>
      </c>
      <c r="L814" s="1">
        <v>599438</v>
      </c>
      <c r="M814" s="1">
        <v>7148</v>
      </c>
      <c r="N814" s="1">
        <v>889</v>
      </c>
      <c r="O814" s="1">
        <v>12657.77</v>
      </c>
      <c r="P814" s="8">
        <f t="shared" si="60"/>
        <v>1.192450261745168</v>
      </c>
      <c r="Q814" s="10">
        <f t="shared" si="61"/>
        <v>1.7708128147733633</v>
      </c>
      <c r="R814" s="12">
        <f t="shared" si="62"/>
        <v>14.238211473565805</v>
      </c>
      <c r="S814" s="2">
        <f t="shared" si="63"/>
        <v>1.5153783012331556</v>
      </c>
      <c r="T814" s="18" t="str">
        <f t="shared" si="64"/>
        <v>🔴 Low</v>
      </c>
    </row>
    <row r="815" spans="1:20" x14ac:dyDescent="0.3">
      <c r="A815" s="17">
        <v>814</v>
      </c>
      <c r="B815" s="3" t="s">
        <v>39</v>
      </c>
      <c r="C815" s="3" t="s">
        <v>40</v>
      </c>
      <c r="D815" s="3" t="s">
        <v>41</v>
      </c>
      <c r="E815" s="3" t="s">
        <v>42</v>
      </c>
      <c r="F815" s="3" t="s">
        <v>47</v>
      </c>
      <c r="G815" s="3" t="s">
        <v>43</v>
      </c>
      <c r="H815" s="3" t="s">
        <v>26</v>
      </c>
      <c r="I815" s="3" t="s">
        <v>27</v>
      </c>
      <c r="J815" s="6">
        <v>2024</v>
      </c>
      <c r="K815" s="3">
        <v>3648.71</v>
      </c>
      <c r="L815" s="3">
        <v>298724</v>
      </c>
      <c r="M815" s="3">
        <v>3518</v>
      </c>
      <c r="N815" s="3">
        <v>373</v>
      </c>
      <c r="O815" s="3">
        <v>2730.75</v>
      </c>
      <c r="P815" s="9">
        <f t="shared" si="60"/>
        <v>1.1776757140370375</v>
      </c>
      <c r="Q815" s="11">
        <f t="shared" si="61"/>
        <v>0.77622228538942584</v>
      </c>
      <c r="R815" s="13">
        <f t="shared" si="62"/>
        <v>7.3210455764075064</v>
      </c>
      <c r="S815" s="4">
        <f t="shared" si="63"/>
        <v>1.3361567334981233</v>
      </c>
      <c r="T815" s="19" t="str">
        <f t="shared" si="64"/>
        <v>🔴 Low</v>
      </c>
    </row>
    <row r="816" spans="1:20" x14ac:dyDescent="0.3">
      <c r="A816" s="16">
        <v>815</v>
      </c>
      <c r="B816" s="1" t="s">
        <v>55</v>
      </c>
      <c r="C816" s="1" t="s">
        <v>36</v>
      </c>
      <c r="D816" s="1" t="s">
        <v>41</v>
      </c>
      <c r="E816" s="1" t="s">
        <v>23</v>
      </c>
      <c r="F816" s="1" t="s">
        <v>47</v>
      </c>
      <c r="G816" s="1" t="s">
        <v>43</v>
      </c>
      <c r="H816" s="1" t="s">
        <v>48</v>
      </c>
      <c r="I816" s="1" t="s">
        <v>34</v>
      </c>
      <c r="J816" s="5">
        <v>2023</v>
      </c>
      <c r="K816" s="1">
        <v>18826.669999999998</v>
      </c>
      <c r="L816" s="1">
        <v>601360</v>
      </c>
      <c r="M816" s="1">
        <v>13987</v>
      </c>
      <c r="N816" s="1">
        <v>1159</v>
      </c>
      <c r="O816" s="1">
        <v>14530.31</v>
      </c>
      <c r="P816" s="8">
        <f t="shared" si="60"/>
        <v>2.3258946388186779</v>
      </c>
      <c r="Q816" s="10">
        <f t="shared" si="61"/>
        <v>1.0388439265031815</v>
      </c>
      <c r="R816" s="12">
        <f t="shared" si="62"/>
        <v>12.536937014667817</v>
      </c>
      <c r="S816" s="2">
        <f t="shared" si="63"/>
        <v>1.2956826110385806</v>
      </c>
      <c r="T816" s="18" t="str">
        <f t="shared" si="64"/>
        <v>🟡 Mid</v>
      </c>
    </row>
    <row r="817" spans="1:20" x14ac:dyDescent="0.3">
      <c r="A817" s="17">
        <v>816</v>
      </c>
      <c r="B817" s="3" t="s">
        <v>49</v>
      </c>
      <c r="C817" s="3" t="s">
        <v>21</v>
      </c>
      <c r="D817" s="3" t="s">
        <v>41</v>
      </c>
      <c r="E817" s="3" t="s">
        <v>23</v>
      </c>
      <c r="F817" s="3" t="s">
        <v>31</v>
      </c>
      <c r="G817" s="3" t="s">
        <v>32</v>
      </c>
      <c r="H817" s="3" t="s">
        <v>37</v>
      </c>
      <c r="I817" s="3" t="s">
        <v>38</v>
      </c>
      <c r="J817" s="6">
        <v>2024</v>
      </c>
      <c r="K817" s="3">
        <v>2128.0700000000002</v>
      </c>
      <c r="L817" s="3">
        <v>438265</v>
      </c>
      <c r="M817" s="3">
        <v>3221</v>
      </c>
      <c r="N817" s="3">
        <v>323</v>
      </c>
      <c r="O817" s="3">
        <v>1511.75</v>
      </c>
      <c r="P817" s="9">
        <f t="shared" si="60"/>
        <v>0.73494347027483375</v>
      </c>
      <c r="Q817" s="11">
        <f t="shared" si="61"/>
        <v>0.46934181931077307</v>
      </c>
      <c r="R817" s="13">
        <f t="shared" si="62"/>
        <v>4.6803405572755414</v>
      </c>
      <c r="S817" s="4">
        <f t="shared" si="63"/>
        <v>1.4076864560939311</v>
      </c>
      <c r="T817" s="19" t="str">
        <f t="shared" si="64"/>
        <v>🔴 Low</v>
      </c>
    </row>
    <row r="818" spans="1:20" x14ac:dyDescent="0.3">
      <c r="A818" s="16">
        <v>817</v>
      </c>
      <c r="B818" s="1" t="s">
        <v>28</v>
      </c>
      <c r="C818" s="1" t="s">
        <v>21</v>
      </c>
      <c r="D818" s="1" t="s">
        <v>29</v>
      </c>
      <c r="E818" s="1" t="s">
        <v>42</v>
      </c>
      <c r="F818" s="1" t="s">
        <v>31</v>
      </c>
      <c r="G818" s="1" t="s">
        <v>25</v>
      </c>
      <c r="H818" s="1" t="s">
        <v>54</v>
      </c>
      <c r="I818" s="1" t="s">
        <v>45</v>
      </c>
      <c r="J818" s="5">
        <v>2023</v>
      </c>
      <c r="K818" s="1">
        <v>3513.96</v>
      </c>
      <c r="L818" s="1">
        <v>115412</v>
      </c>
      <c r="M818" s="1">
        <v>722</v>
      </c>
      <c r="N818" s="1">
        <v>15</v>
      </c>
      <c r="O818" s="1">
        <v>2216.08</v>
      </c>
      <c r="P818" s="8">
        <f t="shared" si="60"/>
        <v>0.62558486119294354</v>
      </c>
      <c r="Q818" s="10">
        <f t="shared" si="61"/>
        <v>3.0693628808864264</v>
      </c>
      <c r="R818" s="12">
        <f t="shared" si="62"/>
        <v>147.73866666666666</v>
      </c>
      <c r="S818" s="2">
        <f t="shared" si="63"/>
        <v>1.5856647774448576</v>
      </c>
      <c r="T818" s="18" t="str">
        <f t="shared" si="64"/>
        <v>🔴 Low</v>
      </c>
    </row>
    <row r="819" spans="1:20" x14ac:dyDescent="0.3">
      <c r="A819" s="17">
        <v>818</v>
      </c>
      <c r="B819" s="3" t="s">
        <v>66</v>
      </c>
      <c r="C819" s="3" t="s">
        <v>40</v>
      </c>
      <c r="D819" s="3" t="s">
        <v>22</v>
      </c>
      <c r="E819" s="3" t="s">
        <v>23</v>
      </c>
      <c r="F819" s="3" t="s">
        <v>47</v>
      </c>
      <c r="G819" s="3" t="s">
        <v>50</v>
      </c>
      <c r="H819" s="3" t="s">
        <v>44</v>
      </c>
      <c r="I819" s="3" t="s">
        <v>45</v>
      </c>
      <c r="J819" s="6">
        <v>2024</v>
      </c>
      <c r="K819" s="3">
        <v>2627.82</v>
      </c>
      <c r="L819" s="3">
        <v>194030</v>
      </c>
      <c r="M819" s="3">
        <v>3655</v>
      </c>
      <c r="N819" s="3">
        <v>58</v>
      </c>
      <c r="O819" s="3">
        <v>2589.2800000000002</v>
      </c>
      <c r="P819" s="9">
        <f t="shared" si="60"/>
        <v>1.883729320208215</v>
      </c>
      <c r="Q819" s="11">
        <f t="shared" si="61"/>
        <v>0.70842134062927498</v>
      </c>
      <c r="R819" s="13">
        <f t="shared" si="62"/>
        <v>44.642758620689662</v>
      </c>
      <c r="S819" s="4">
        <f t="shared" si="63"/>
        <v>1.0148844466415374</v>
      </c>
      <c r="T819" s="19" t="str">
        <f t="shared" si="64"/>
        <v>🟡 Mid</v>
      </c>
    </row>
    <row r="820" spans="1:20" x14ac:dyDescent="0.3">
      <c r="A820" s="16">
        <v>819</v>
      </c>
      <c r="B820" s="1" t="s">
        <v>82</v>
      </c>
      <c r="C820" s="1" t="s">
        <v>40</v>
      </c>
      <c r="D820" s="1" t="s">
        <v>46</v>
      </c>
      <c r="E820" s="1" t="s">
        <v>56</v>
      </c>
      <c r="F820" s="1" t="s">
        <v>47</v>
      </c>
      <c r="G820" s="1" t="s">
        <v>57</v>
      </c>
      <c r="H820" s="1" t="s">
        <v>37</v>
      </c>
      <c r="I820" s="1" t="s">
        <v>38</v>
      </c>
      <c r="J820" s="5">
        <v>2024</v>
      </c>
      <c r="K820" s="1">
        <v>19930.55</v>
      </c>
      <c r="L820" s="1">
        <v>514917</v>
      </c>
      <c r="M820" s="1">
        <v>9223</v>
      </c>
      <c r="N820" s="1">
        <v>432</v>
      </c>
      <c r="O820" s="1">
        <v>15763.53</v>
      </c>
      <c r="P820" s="8">
        <f t="shared" si="60"/>
        <v>1.7911624591924524</v>
      </c>
      <c r="Q820" s="10">
        <f t="shared" si="61"/>
        <v>1.7091542881925621</v>
      </c>
      <c r="R820" s="12">
        <f t="shared" si="62"/>
        <v>36.489652777777778</v>
      </c>
      <c r="S820" s="2">
        <f t="shared" si="63"/>
        <v>1.2643456129432937</v>
      </c>
      <c r="T820" s="18" t="str">
        <f t="shared" si="64"/>
        <v>🟡 Mid</v>
      </c>
    </row>
    <row r="821" spans="1:20" x14ac:dyDescent="0.3">
      <c r="A821" s="17">
        <v>820</v>
      </c>
      <c r="B821" s="3" t="s">
        <v>69</v>
      </c>
      <c r="C821" s="3" t="s">
        <v>21</v>
      </c>
      <c r="D821" s="3" t="s">
        <v>41</v>
      </c>
      <c r="E821" s="3" t="s">
        <v>30</v>
      </c>
      <c r="F821" s="3" t="s">
        <v>31</v>
      </c>
      <c r="G821" s="3" t="s">
        <v>25</v>
      </c>
      <c r="H821" s="3" t="s">
        <v>37</v>
      </c>
      <c r="I821" s="3" t="s">
        <v>38</v>
      </c>
      <c r="J821" s="6">
        <v>2023</v>
      </c>
      <c r="K821" s="3">
        <v>19762.310000000001</v>
      </c>
      <c r="L821" s="3">
        <v>403757</v>
      </c>
      <c r="M821" s="3">
        <v>6054</v>
      </c>
      <c r="N821" s="3">
        <v>393</v>
      </c>
      <c r="O821" s="3">
        <v>18568.349999999999</v>
      </c>
      <c r="P821" s="9">
        <f t="shared" si="60"/>
        <v>1.499416728378703</v>
      </c>
      <c r="Q821" s="11">
        <f t="shared" si="61"/>
        <v>3.0671209117938552</v>
      </c>
      <c r="R821" s="13">
        <f t="shared" si="62"/>
        <v>47.247709923664118</v>
      </c>
      <c r="S821" s="4">
        <f t="shared" si="63"/>
        <v>1.0643008129424534</v>
      </c>
      <c r="T821" s="19" t="str">
        <f t="shared" si="64"/>
        <v>🔴 Low</v>
      </c>
    </row>
    <row r="822" spans="1:20" x14ac:dyDescent="0.3">
      <c r="A822" s="16">
        <v>821</v>
      </c>
      <c r="B822" s="1" t="s">
        <v>66</v>
      </c>
      <c r="C822" s="1" t="s">
        <v>40</v>
      </c>
      <c r="D822" s="1" t="s">
        <v>46</v>
      </c>
      <c r="E822" s="1" t="s">
        <v>42</v>
      </c>
      <c r="F822" s="1" t="s">
        <v>24</v>
      </c>
      <c r="G822" s="1" t="s">
        <v>57</v>
      </c>
      <c r="H822" s="1" t="s">
        <v>44</v>
      </c>
      <c r="I822" s="1" t="s">
        <v>45</v>
      </c>
      <c r="J822" s="5">
        <v>2024</v>
      </c>
      <c r="K822" s="1">
        <v>5762.04</v>
      </c>
      <c r="L822" s="1">
        <v>671566</v>
      </c>
      <c r="M822" s="1">
        <v>11576</v>
      </c>
      <c r="N822" s="1">
        <v>653</v>
      </c>
      <c r="O822" s="1">
        <v>3654.96</v>
      </c>
      <c r="P822" s="8">
        <f t="shared" si="60"/>
        <v>1.7237322913905708</v>
      </c>
      <c r="Q822" s="10">
        <f t="shared" si="61"/>
        <v>0.31573600552868003</v>
      </c>
      <c r="R822" s="12">
        <f t="shared" si="62"/>
        <v>5.5971822358346097</v>
      </c>
      <c r="S822" s="2">
        <f t="shared" si="63"/>
        <v>1.5764987852124237</v>
      </c>
      <c r="T822" s="18" t="str">
        <f t="shared" si="64"/>
        <v>🟡 Mid</v>
      </c>
    </row>
    <row r="823" spans="1:20" x14ac:dyDescent="0.3">
      <c r="A823" s="17">
        <v>822</v>
      </c>
      <c r="B823" s="3" t="s">
        <v>74</v>
      </c>
      <c r="C823" s="3" t="s">
        <v>21</v>
      </c>
      <c r="D823" s="3" t="s">
        <v>41</v>
      </c>
      <c r="E823" s="3" t="s">
        <v>61</v>
      </c>
      <c r="F823" s="3" t="s">
        <v>24</v>
      </c>
      <c r="G823" s="3" t="s">
        <v>43</v>
      </c>
      <c r="H823" s="3" t="s">
        <v>26</v>
      </c>
      <c r="I823" s="3" t="s">
        <v>27</v>
      </c>
      <c r="J823" s="6">
        <v>2023</v>
      </c>
      <c r="K823" s="3">
        <v>2302.6</v>
      </c>
      <c r="L823" s="3">
        <v>454350</v>
      </c>
      <c r="M823" s="3">
        <v>4303</v>
      </c>
      <c r="N823" s="3">
        <v>375</v>
      </c>
      <c r="O823" s="3">
        <v>2109.9499999999998</v>
      </c>
      <c r="P823" s="9">
        <f t="shared" si="60"/>
        <v>0.94706723891273248</v>
      </c>
      <c r="Q823" s="11">
        <f t="shared" si="61"/>
        <v>0.49034394608412729</v>
      </c>
      <c r="R823" s="13">
        <f t="shared" si="62"/>
        <v>5.6265333333333327</v>
      </c>
      <c r="S823" s="4">
        <f t="shared" si="63"/>
        <v>1.0913054811725398</v>
      </c>
      <c r="T823" s="19" t="str">
        <f t="shared" si="64"/>
        <v>🔴 Low</v>
      </c>
    </row>
    <row r="824" spans="1:20" x14ac:dyDescent="0.3">
      <c r="A824" s="16">
        <v>823</v>
      </c>
      <c r="B824" s="1" t="s">
        <v>93</v>
      </c>
      <c r="C824" s="1" t="s">
        <v>36</v>
      </c>
      <c r="D824" s="1" t="s">
        <v>13</v>
      </c>
      <c r="E824" s="1" t="s">
        <v>56</v>
      </c>
      <c r="F824" s="1" t="s">
        <v>47</v>
      </c>
      <c r="G824" s="1" t="s">
        <v>50</v>
      </c>
      <c r="H824" s="1" t="s">
        <v>81</v>
      </c>
      <c r="I824" s="1" t="s">
        <v>34</v>
      </c>
      <c r="J824" s="5">
        <v>2023</v>
      </c>
      <c r="K824" s="1">
        <v>19329</v>
      </c>
      <c r="L824" s="1">
        <v>463001</v>
      </c>
      <c r="M824" s="1">
        <v>10789</v>
      </c>
      <c r="N824" s="1">
        <v>833</v>
      </c>
      <c r="O824" s="1">
        <v>11678.03</v>
      </c>
      <c r="P824" s="8">
        <f t="shared" si="60"/>
        <v>2.3302325480938486</v>
      </c>
      <c r="Q824" s="10">
        <f t="shared" si="61"/>
        <v>1.0824015200667347</v>
      </c>
      <c r="R824" s="12">
        <f t="shared" si="62"/>
        <v>14.019243697478993</v>
      </c>
      <c r="S824" s="2">
        <f t="shared" si="63"/>
        <v>1.6551593034099072</v>
      </c>
      <c r="T824" s="18" t="str">
        <f t="shared" si="64"/>
        <v>🟡 Mid</v>
      </c>
    </row>
    <row r="825" spans="1:20" x14ac:dyDescent="0.3">
      <c r="A825" s="17">
        <v>824</v>
      </c>
      <c r="B825" s="3" t="s">
        <v>63</v>
      </c>
      <c r="C825" s="3" t="s">
        <v>21</v>
      </c>
      <c r="D825" s="3" t="s">
        <v>22</v>
      </c>
      <c r="E825" s="3" t="s">
        <v>61</v>
      </c>
      <c r="F825" s="3" t="s">
        <v>31</v>
      </c>
      <c r="G825" s="3" t="s">
        <v>25</v>
      </c>
      <c r="H825" s="3" t="s">
        <v>37</v>
      </c>
      <c r="I825" s="3" t="s">
        <v>38</v>
      </c>
      <c r="J825" s="6">
        <v>2024</v>
      </c>
      <c r="K825" s="3">
        <v>776.64</v>
      </c>
      <c r="L825" s="3">
        <v>485938</v>
      </c>
      <c r="M825" s="3">
        <v>6356</v>
      </c>
      <c r="N825" s="3">
        <v>120</v>
      </c>
      <c r="O825" s="3">
        <v>628.9</v>
      </c>
      <c r="P825" s="9">
        <f t="shared" si="60"/>
        <v>1.3079857924261944</v>
      </c>
      <c r="Q825" s="11">
        <f t="shared" si="61"/>
        <v>9.894587791063561E-2</v>
      </c>
      <c r="R825" s="13">
        <f t="shared" si="62"/>
        <v>5.2408333333333328</v>
      </c>
      <c r="S825" s="4">
        <f t="shared" si="63"/>
        <v>1.2349181109874383</v>
      </c>
      <c r="T825" s="19" t="str">
        <f t="shared" si="64"/>
        <v>🔴 Low</v>
      </c>
    </row>
    <row r="826" spans="1:20" x14ac:dyDescent="0.3">
      <c r="A826" s="16">
        <v>825</v>
      </c>
      <c r="B826" s="1" t="s">
        <v>85</v>
      </c>
      <c r="C826" s="1" t="s">
        <v>40</v>
      </c>
      <c r="D826" s="1" t="s">
        <v>41</v>
      </c>
      <c r="E826" s="1" t="s">
        <v>23</v>
      </c>
      <c r="F826" s="1" t="s">
        <v>31</v>
      </c>
      <c r="G826" s="1" t="s">
        <v>57</v>
      </c>
      <c r="H826" s="1" t="s">
        <v>48</v>
      </c>
      <c r="I826" s="1" t="s">
        <v>34</v>
      </c>
      <c r="J826" s="5">
        <v>2023</v>
      </c>
      <c r="K826" s="1">
        <v>12868.71</v>
      </c>
      <c r="L826" s="1">
        <v>674952</v>
      </c>
      <c r="M826" s="1">
        <v>12299</v>
      </c>
      <c r="N826" s="1">
        <v>953</v>
      </c>
      <c r="O826" s="1">
        <v>13012.76</v>
      </c>
      <c r="P826" s="8">
        <f t="shared" si="60"/>
        <v>1.8222036530005097</v>
      </c>
      <c r="Q826" s="10">
        <f t="shared" si="61"/>
        <v>1.0580339865029678</v>
      </c>
      <c r="R826" s="12">
        <f t="shared" si="62"/>
        <v>13.654522560335781</v>
      </c>
      <c r="S826" s="2">
        <f t="shared" si="63"/>
        <v>0.98893009630547235</v>
      </c>
      <c r="T826" s="18" t="str">
        <f t="shared" si="64"/>
        <v>🟡 Mid</v>
      </c>
    </row>
    <row r="827" spans="1:20" x14ac:dyDescent="0.3">
      <c r="A827" s="17">
        <v>826</v>
      </c>
      <c r="B827" s="3" t="s">
        <v>102</v>
      </c>
      <c r="C827" s="3" t="s">
        <v>40</v>
      </c>
      <c r="D827" s="3" t="s">
        <v>29</v>
      </c>
      <c r="E827" s="3" t="s">
        <v>56</v>
      </c>
      <c r="F827" s="3" t="s">
        <v>24</v>
      </c>
      <c r="G827" s="3" t="s">
        <v>43</v>
      </c>
      <c r="H827" s="3" t="s">
        <v>83</v>
      </c>
      <c r="I827" s="3" t="s">
        <v>38</v>
      </c>
      <c r="J827" s="6">
        <v>2023</v>
      </c>
      <c r="K827" s="3">
        <v>19449.02</v>
      </c>
      <c r="L827" s="3">
        <v>609856</v>
      </c>
      <c r="M827" s="3">
        <v>9494</v>
      </c>
      <c r="N827" s="3">
        <v>366</v>
      </c>
      <c r="O827" s="3">
        <v>14693.88</v>
      </c>
      <c r="P827" s="9">
        <f t="shared" si="60"/>
        <v>1.5567609402875433</v>
      </c>
      <c r="Q827" s="11">
        <f t="shared" si="61"/>
        <v>1.5477017063408467</v>
      </c>
      <c r="R827" s="13">
        <f t="shared" si="62"/>
        <v>40.147213114754095</v>
      </c>
      <c r="S827" s="4">
        <f t="shared" si="63"/>
        <v>1.3236136405088379</v>
      </c>
      <c r="T827" s="19" t="str">
        <f t="shared" si="64"/>
        <v>🟡 Mid</v>
      </c>
    </row>
    <row r="828" spans="1:20" x14ac:dyDescent="0.3">
      <c r="A828" s="16">
        <v>827</v>
      </c>
      <c r="B828" s="1" t="s">
        <v>60</v>
      </c>
      <c r="C828" s="1" t="s">
        <v>40</v>
      </c>
      <c r="D828" s="1" t="s">
        <v>13</v>
      </c>
      <c r="E828" s="1" t="s">
        <v>23</v>
      </c>
      <c r="F828" s="1" t="s">
        <v>31</v>
      </c>
      <c r="G828" s="1" t="s">
        <v>57</v>
      </c>
      <c r="H828" s="1" t="s">
        <v>54</v>
      </c>
      <c r="I828" s="1" t="s">
        <v>45</v>
      </c>
      <c r="J828" s="5">
        <v>2024</v>
      </c>
      <c r="K828" s="1">
        <v>13153.78</v>
      </c>
      <c r="L828" s="1">
        <v>483148</v>
      </c>
      <c r="M828" s="1">
        <v>5801</v>
      </c>
      <c r="N828" s="1">
        <v>626</v>
      </c>
      <c r="O828" s="1">
        <v>10244.91</v>
      </c>
      <c r="P828" s="8">
        <f t="shared" si="60"/>
        <v>1.2006672903540945</v>
      </c>
      <c r="Q828" s="10">
        <f t="shared" si="61"/>
        <v>1.7660593001206688</v>
      </c>
      <c r="R828" s="12">
        <f t="shared" si="62"/>
        <v>16.36567092651757</v>
      </c>
      <c r="S828" s="2">
        <f t="shared" si="63"/>
        <v>1.283933192190073</v>
      </c>
      <c r="T828" s="18" t="str">
        <f t="shared" si="64"/>
        <v>🔴 Low</v>
      </c>
    </row>
    <row r="829" spans="1:20" x14ac:dyDescent="0.3">
      <c r="A829" s="17">
        <v>828</v>
      </c>
      <c r="B829" s="3" t="s">
        <v>85</v>
      </c>
      <c r="C829" s="3" t="s">
        <v>40</v>
      </c>
      <c r="D829" s="3" t="s">
        <v>46</v>
      </c>
      <c r="E829" s="3" t="s">
        <v>56</v>
      </c>
      <c r="F829" s="3" t="s">
        <v>47</v>
      </c>
      <c r="G829" s="3" t="s">
        <v>43</v>
      </c>
      <c r="H829" s="3" t="s">
        <v>26</v>
      </c>
      <c r="I829" s="3" t="s">
        <v>27</v>
      </c>
      <c r="J829" s="6">
        <v>2023</v>
      </c>
      <c r="K829" s="3">
        <v>11083.88</v>
      </c>
      <c r="L829" s="3">
        <v>405098</v>
      </c>
      <c r="M829" s="3">
        <v>7451</v>
      </c>
      <c r="N829" s="3">
        <v>425</v>
      </c>
      <c r="O829" s="3">
        <v>9720.94</v>
      </c>
      <c r="P829" s="9">
        <f t="shared" si="60"/>
        <v>1.8393080192940967</v>
      </c>
      <c r="Q829" s="11">
        <f t="shared" si="61"/>
        <v>1.3046490403972621</v>
      </c>
      <c r="R829" s="13">
        <f t="shared" si="62"/>
        <v>22.872800000000002</v>
      </c>
      <c r="S829" s="4">
        <f t="shared" si="63"/>
        <v>1.1402066055340325</v>
      </c>
      <c r="T829" s="19" t="str">
        <f t="shared" si="64"/>
        <v>🟡 Mid</v>
      </c>
    </row>
    <row r="830" spans="1:20" x14ac:dyDescent="0.3">
      <c r="A830" s="16">
        <v>829</v>
      </c>
      <c r="B830" s="1" t="s">
        <v>90</v>
      </c>
      <c r="C830" s="1" t="s">
        <v>21</v>
      </c>
      <c r="D830" s="1" t="s">
        <v>13</v>
      </c>
      <c r="E830" s="1" t="s">
        <v>61</v>
      </c>
      <c r="F830" s="1" t="s">
        <v>24</v>
      </c>
      <c r="G830" s="1" t="s">
        <v>57</v>
      </c>
      <c r="H830" s="1" t="s">
        <v>58</v>
      </c>
      <c r="I830" s="1" t="s">
        <v>27</v>
      </c>
      <c r="J830" s="5">
        <v>2023</v>
      </c>
      <c r="K830" s="1">
        <v>13167.68</v>
      </c>
      <c r="L830" s="1">
        <v>651195</v>
      </c>
      <c r="M830" s="1">
        <v>5946</v>
      </c>
      <c r="N830" s="1">
        <v>609</v>
      </c>
      <c r="O830" s="1">
        <v>11350.63</v>
      </c>
      <c r="P830" s="8">
        <f t="shared" si="60"/>
        <v>0.91309054891391983</v>
      </c>
      <c r="Q830" s="10">
        <f t="shared" si="61"/>
        <v>1.9089522367978471</v>
      </c>
      <c r="R830" s="12">
        <f t="shared" si="62"/>
        <v>18.638144499178981</v>
      </c>
      <c r="S830" s="2">
        <f t="shared" si="63"/>
        <v>1.1600836253141897</v>
      </c>
      <c r="T830" s="18" t="str">
        <f t="shared" si="64"/>
        <v>🔴 Low</v>
      </c>
    </row>
    <row r="831" spans="1:20" x14ac:dyDescent="0.3">
      <c r="A831" s="17">
        <v>830</v>
      </c>
      <c r="B831" s="3" t="s">
        <v>103</v>
      </c>
      <c r="C831" s="3" t="s">
        <v>21</v>
      </c>
      <c r="D831" s="3" t="s">
        <v>41</v>
      </c>
      <c r="E831" s="3" t="s">
        <v>61</v>
      </c>
      <c r="F831" s="3" t="s">
        <v>31</v>
      </c>
      <c r="G831" s="3" t="s">
        <v>57</v>
      </c>
      <c r="H831" s="3" t="s">
        <v>44</v>
      </c>
      <c r="I831" s="3" t="s">
        <v>45</v>
      </c>
      <c r="J831" s="6">
        <v>2024</v>
      </c>
      <c r="K831" s="3">
        <v>17108.25</v>
      </c>
      <c r="L831" s="3">
        <v>227162</v>
      </c>
      <c r="M831" s="3">
        <v>1371</v>
      </c>
      <c r="N831" s="3">
        <v>106</v>
      </c>
      <c r="O831" s="3">
        <v>13531.68</v>
      </c>
      <c r="P831" s="9">
        <f t="shared" si="60"/>
        <v>0.60353404178515768</v>
      </c>
      <c r="Q831" s="11">
        <f t="shared" si="61"/>
        <v>9.8699343544857765</v>
      </c>
      <c r="R831" s="13">
        <f t="shared" si="62"/>
        <v>127.65735849056604</v>
      </c>
      <c r="S831" s="4">
        <f t="shared" si="63"/>
        <v>1.2643108616225036</v>
      </c>
      <c r="T831" s="19" t="str">
        <f t="shared" si="64"/>
        <v>🔴 Low</v>
      </c>
    </row>
    <row r="832" spans="1:20" x14ac:dyDescent="0.3">
      <c r="A832" s="16">
        <v>831</v>
      </c>
      <c r="B832" s="1" t="s">
        <v>39</v>
      </c>
      <c r="C832" s="1" t="s">
        <v>40</v>
      </c>
      <c r="D832" s="1" t="s">
        <v>46</v>
      </c>
      <c r="E832" s="1" t="s">
        <v>56</v>
      </c>
      <c r="F832" s="1" t="s">
        <v>24</v>
      </c>
      <c r="G832" s="1" t="s">
        <v>43</v>
      </c>
      <c r="H832" s="1" t="s">
        <v>48</v>
      </c>
      <c r="I832" s="1" t="s">
        <v>34</v>
      </c>
      <c r="J832" s="5">
        <v>2024</v>
      </c>
      <c r="K832" s="1">
        <v>18205.87</v>
      </c>
      <c r="L832" s="1">
        <v>681184</v>
      </c>
      <c r="M832" s="1">
        <v>9297</v>
      </c>
      <c r="N832" s="1">
        <v>376</v>
      </c>
      <c r="O832" s="1">
        <v>13788.22</v>
      </c>
      <c r="P832" s="8">
        <f t="shared" si="60"/>
        <v>1.3648294733875135</v>
      </c>
      <c r="Q832" s="10">
        <f t="shared" si="61"/>
        <v>1.483082714854254</v>
      </c>
      <c r="R832" s="12">
        <f t="shared" si="62"/>
        <v>36.670797872340422</v>
      </c>
      <c r="S832" s="2">
        <f t="shared" si="63"/>
        <v>1.3203930601629508</v>
      </c>
      <c r="T832" s="18" t="str">
        <f t="shared" si="64"/>
        <v>🔴 Low</v>
      </c>
    </row>
    <row r="833" spans="1:20" x14ac:dyDescent="0.3">
      <c r="A833" s="17">
        <v>832</v>
      </c>
      <c r="B833" s="3" t="s">
        <v>71</v>
      </c>
      <c r="C833" s="3" t="s">
        <v>36</v>
      </c>
      <c r="D833" s="3" t="s">
        <v>13</v>
      </c>
      <c r="E833" s="3" t="s">
        <v>23</v>
      </c>
      <c r="F833" s="3" t="s">
        <v>47</v>
      </c>
      <c r="G833" s="3" t="s">
        <v>50</v>
      </c>
      <c r="H833" s="3" t="s">
        <v>44</v>
      </c>
      <c r="I833" s="3" t="s">
        <v>45</v>
      </c>
      <c r="J833" s="6">
        <v>2023</v>
      </c>
      <c r="K833" s="3">
        <v>581.07000000000005</v>
      </c>
      <c r="L833" s="3">
        <v>439694</v>
      </c>
      <c r="M833" s="3">
        <v>8847</v>
      </c>
      <c r="N833" s="3">
        <v>462</v>
      </c>
      <c r="O833" s="3">
        <v>355.05</v>
      </c>
      <c r="P833" s="9">
        <f t="shared" si="60"/>
        <v>2.0120811291489082</v>
      </c>
      <c r="Q833" s="11">
        <f t="shared" si="61"/>
        <v>4.0132248219735503E-2</v>
      </c>
      <c r="R833" s="13">
        <f t="shared" si="62"/>
        <v>0.76850649350649358</v>
      </c>
      <c r="S833" s="4">
        <f t="shared" si="63"/>
        <v>1.6365863962822138</v>
      </c>
      <c r="T833" s="19" t="str">
        <f t="shared" si="64"/>
        <v>🟡 Mid</v>
      </c>
    </row>
    <row r="834" spans="1:20" x14ac:dyDescent="0.3">
      <c r="A834" s="16">
        <v>833</v>
      </c>
      <c r="B834" s="1" t="s">
        <v>96</v>
      </c>
      <c r="C834" s="1" t="s">
        <v>40</v>
      </c>
      <c r="D834" s="1" t="s">
        <v>13</v>
      </c>
      <c r="E834" s="1" t="s">
        <v>30</v>
      </c>
      <c r="F834" s="1" t="s">
        <v>31</v>
      </c>
      <c r="G834" s="1" t="s">
        <v>50</v>
      </c>
      <c r="H834" s="1" t="s">
        <v>83</v>
      </c>
      <c r="I834" s="1" t="s">
        <v>38</v>
      </c>
      <c r="J834" s="5">
        <v>2024</v>
      </c>
      <c r="K834" s="1">
        <v>4256.88</v>
      </c>
      <c r="L834" s="1">
        <v>680738</v>
      </c>
      <c r="M834" s="1">
        <v>10023</v>
      </c>
      <c r="N834" s="1">
        <v>1155</v>
      </c>
      <c r="O834" s="1">
        <v>3321.32</v>
      </c>
      <c r="P834" s="8">
        <f t="shared" ref="P834:P897" si="65">IFERROR(M834/L834*100,0)</f>
        <v>1.4723726308800156</v>
      </c>
      <c r="Q834" s="10">
        <f t="shared" ref="Q834:Q897" si="66">IFERROR(O834/M834,0)</f>
        <v>0.33136984934650304</v>
      </c>
      <c r="R834" s="12">
        <f t="shared" ref="R834:R897" si="67">IFERROR(O834/N834,"-")</f>
        <v>2.8756017316017317</v>
      </c>
      <c r="S834" s="2">
        <f t="shared" ref="S834:S897" si="68">IFERROR(K834/O834,0)</f>
        <v>1.2816831862030758</v>
      </c>
      <c r="T834" s="18" t="str">
        <f t="shared" ref="T834:T897" si="69">IF(P834&gt;=3,"🟢 High",IF(P834&gt;=1.5,"🟡 Mid","🔴 Low"))</f>
        <v>🔴 Low</v>
      </c>
    </row>
    <row r="835" spans="1:20" x14ac:dyDescent="0.3">
      <c r="A835" s="17">
        <v>834</v>
      </c>
      <c r="B835" s="3" t="s">
        <v>76</v>
      </c>
      <c r="C835" s="3" t="s">
        <v>21</v>
      </c>
      <c r="D835" s="3" t="s">
        <v>46</v>
      </c>
      <c r="E835" s="3" t="s">
        <v>56</v>
      </c>
      <c r="F835" s="3" t="s">
        <v>47</v>
      </c>
      <c r="G835" s="3" t="s">
        <v>32</v>
      </c>
      <c r="H835" s="3" t="s">
        <v>26</v>
      </c>
      <c r="I835" s="3" t="s">
        <v>27</v>
      </c>
      <c r="J835" s="6">
        <v>2024</v>
      </c>
      <c r="K835" s="3">
        <v>5003.91</v>
      </c>
      <c r="L835" s="3">
        <v>749515</v>
      </c>
      <c r="M835" s="3">
        <v>6004</v>
      </c>
      <c r="N835" s="3">
        <v>528</v>
      </c>
      <c r="O835" s="3">
        <v>4062.11</v>
      </c>
      <c r="P835" s="9">
        <f t="shared" si="65"/>
        <v>0.8010513465374276</v>
      </c>
      <c r="Q835" s="11">
        <f t="shared" si="66"/>
        <v>0.67656728847435044</v>
      </c>
      <c r="R835" s="13">
        <f t="shared" si="67"/>
        <v>7.6933901515151515</v>
      </c>
      <c r="S835" s="4">
        <f t="shared" si="68"/>
        <v>1.231849949902883</v>
      </c>
      <c r="T835" s="19" t="str">
        <f t="shared" si="69"/>
        <v>🔴 Low</v>
      </c>
    </row>
    <row r="836" spans="1:20" x14ac:dyDescent="0.3">
      <c r="A836" s="16">
        <v>835</v>
      </c>
      <c r="B836" s="1" t="s">
        <v>90</v>
      </c>
      <c r="C836" s="1" t="s">
        <v>21</v>
      </c>
      <c r="D836" s="1" t="s">
        <v>13</v>
      </c>
      <c r="E836" s="1" t="s">
        <v>61</v>
      </c>
      <c r="F836" s="1" t="s">
        <v>24</v>
      </c>
      <c r="G836" s="1" t="s">
        <v>43</v>
      </c>
      <c r="H836" s="1" t="s">
        <v>83</v>
      </c>
      <c r="I836" s="1" t="s">
        <v>38</v>
      </c>
      <c r="J836" s="5">
        <v>2023</v>
      </c>
      <c r="K836" s="1">
        <v>2318.6799999999998</v>
      </c>
      <c r="L836" s="1">
        <v>463669</v>
      </c>
      <c r="M836" s="1">
        <v>7210</v>
      </c>
      <c r="N836" s="1">
        <v>437</v>
      </c>
      <c r="O836" s="1">
        <v>1993.14</v>
      </c>
      <c r="P836" s="8">
        <f t="shared" si="65"/>
        <v>1.554988580215628</v>
      </c>
      <c r="Q836" s="10">
        <f t="shared" si="66"/>
        <v>0.27644105409153952</v>
      </c>
      <c r="R836" s="12">
        <f t="shared" si="67"/>
        <v>4.5609610983981694</v>
      </c>
      <c r="S836" s="2">
        <f t="shared" si="68"/>
        <v>1.1633302226637365</v>
      </c>
      <c r="T836" s="18" t="str">
        <f t="shared" si="69"/>
        <v>🟡 Mid</v>
      </c>
    </row>
    <row r="837" spans="1:20" x14ac:dyDescent="0.3">
      <c r="A837" s="17">
        <v>836</v>
      </c>
      <c r="B837" s="3" t="s">
        <v>103</v>
      </c>
      <c r="C837" s="3" t="s">
        <v>21</v>
      </c>
      <c r="D837" s="3" t="s">
        <v>29</v>
      </c>
      <c r="E837" s="3" t="s">
        <v>56</v>
      </c>
      <c r="F837" s="3" t="s">
        <v>24</v>
      </c>
      <c r="G837" s="3" t="s">
        <v>25</v>
      </c>
      <c r="H837" s="3" t="s">
        <v>48</v>
      </c>
      <c r="I837" s="3" t="s">
        <v>34</v>
      </c>
      <c r="J837" s="6">
        <v>2024</v>
      </c>
      <c r="K837" s="3">
        <v>4137.83</v>
      </c>
      <c r="L837" s="3">
        <v>689219</v>
      </c>
      <c r="M837" s="3">
        <v>5252</v>
      </c>
      <c r="N837" s="3">
        <v>193</v>
      </c>
      <c r="O837" s="3">
        <v>2998.72</v>
      </c>
      <c r="P837" s="9">
        <f t="shared" si="65"/>
        <v>0.76202194077644403</v>
      </c>
      <c r="Q837" s="11">
        <f t="shared" si="66"/>
        <v>0.57096725057121089</v>
      </c>
      <c r="R837" s="13">
        <f t="shared" si="67"/>
        <v>15.53740932642487</v>
      </c>
      <c r="S837" s="4">
        <f t="shared" si="68"/>
        <v>1.3798654092412763</v>
      </c>
      <c r="T837" s="19" t="str">
        <f t="shared" si="69"/>
        <v>🔴 Low</v>
      </c>
    </row>
    <row r="838" spans="1:20" x14ac:dyDescent="0.3">
      <c r="A838" s="16">
        <v>837</v>
      </c>
      <c r="B838" s="1" t="s">
        <v>64</v>
      </c>
      <c r="C838" s="1" t="s">
        <v>21</v>
      </c>
      <c r="D838" s="1" t="s">
        <v>41</v>
      </c>
      <c r="E838" s="1" t="s">
        <v>23</v>
      </c>
      <c r="F838" s="1" t="s">
        <v>31</v>
      </c>
      <c r="G838" s="1" t="s">
        <v>57</v>
      </c>
      <c r="H838" s="1" t="s">
        <v>52</v>
      </c>
      <c r="I838" s="1" t="s">
        <v>38</v>
      </c>
      <c r="J838" s="5">
        <v>2023</v>
      </c>
      <c r="K838" s="1">
        <v>18732.03</v>
      </c>
      <c r="L838" s="1">
        <v>662916</v>
      </c>
      <c r="M838" s="1">
        <v>14130</v>
      </c>
      <c r="N838" s="1">
        <v>1827</v>
      </c>
      <c r="O838" s="1">
        <v>12111.97</v>
      </c>
      <c r="P838" s="8">
        <f t="shared" si="65"/>
        <v>2.1314917727132849</v>
      </c>
      <c r="Q838" s="10">
        <f t="shared" si="66"/>
        <v>0.85718117480537859</v>
      </c>
      <c r="R838" s="12">
        <f t="shared" si="67"/>
        <v>6.6294307608100711</v>
      </c>
      <c r="S838" s="2">
        <f t="shared" si="68"/>
        <v>1.5465716972548644</v>
      </c>
      <c r="T838" s="18" t="str">
        <f t="shared" si="69"/>
        <v>🟡 Mid</v>
      </c>
    </row>
    <row r="839" spans="1:20" x14ac:dyDescent="0.3">
      <c r="A839" s="17">
        <v>838</v>
      </c>
      <c r="B839" s="3" t="s">
        <v>20</v>
      </c>
      <c r="C839" s="3" t="s">
        <v>21</v>
      </c>
      <c r="D839" s="3" t="s">
        <v>22</v>
      </c>
      <c r="E839" s="3" t="s">
        <v>30</v>
      </c>
      <c r="F839" s="3" t="s">
        <v>47</v>
      </c>
      <c r="G839" s="3" t="s">
        <v>43</v>
      </c>
      <c r="H839" s="3" t="s">
        <v>26</v>
      </c>
      <c r="I839" s="3" t="s">
        <v>27</v>
      </c>
      <c r="J839" s="6">
        <v>2023</v>
      </c>
      <c r="K839" s="3">
        <v>2008.94</v>
      </c>
      <c r="L839" s="3">
        <v>383952</v>
      </c>
      <c r="M839" s="3">
        <v>3492</v>
      </c>
      <c r="N839" s="3">
        <v>65</v>
      </c>
      <c r="O839" s="3">
        <v>1380.84</v>
      </c>
      <c r="P839" s="9">
        <f t="shared" si="65"/>
        <v>0.90948868608576072</v>
      </c>
      <c r="Q839" s="11">
        <f t="shared" si="66"/>
        <v>0.39542955326460477</v>
      </c>
      <c r="R839" s="13">
        <f t="shared" si="67"/>
        <v>21.243692307692307</v>
      </c>
      <c r="S839" s="4">
        <f t="shared" si="68"/>
        <v>1.4548680513310739</v>
      </c>
      <c r="T839" s="19" t="str">
        <f t="shared" si="69"/>
        <v>🔴 Low</v>
      </c>
    </row>
    <row r="840" spans="1:20" x14ac:dyDescent="0.3">
      <c r="A840" s="16">
        <v>839</v>
      </c>
      <c r="B840" s="1" t="s">
        <v>89</v>
      </c>
      <c r="C840" s="1" t="s">
        <v>36</v>
      </c>
      <c r="D840" s="1" t="s">
        <v>22</v>
      </c>
      <c r="E840" s="1" t="s">
        <v>56</v>
      </c>
      <c r="F840" s="1" t="s">
        <v>24</v>
      </c>
      <c r="G840" s="1" t="s">
        <v>50</v>
      </c>
      <c r="H840" s="1" t="s">
        <v>44</v>
      </c>
      <c r="I840" s="1" t="s">
        <v>45</v>
      </c>
      <c r="J840" s="5">
        <v>2023</v>
      </c>
      <c r="K840" s="1">
        <v>4600.7700000000004</v>
      </c>
      <c r="L840" s="1">
        <v>445304</v>
      </c>
      <c r="M840" s="1">
        <v>11100</v>
      </c>
      <c r="N840" s="1">
        <v>206</v>
      </c>
      <c r="O840" s="1">
        <v>4322.84</v>
      </c>
      <c r="P840" s="8">
        <f t="shared" si="65"/>
        <v>2.4926791585074466</v>
      </c>
      <c r="Q840" s="10">
        <f t="shared" si="66"/>
        <v>0.38944504504504507</v>
      </c>
      <c r="R840" s="12">
        <f t="shared" si="67"/>
        <v>20.984660194174758</v>
      </c>
      <c r="S840" s="2">
        <f t="shared" si="68"/>
        <v>1.0642933812030981</v>
      </c>
      <c r="T840" s="18" t="str">
        <f t="shared" si="69"/>
        <v>🟡 Mid</v>
      </c>
    </row>
    <row r="841" spans="1:20" x14ac:dyDescent="0.3">
      <c r="A841" s="17">
        <v>840</v>
      </c>
      <c r="B841" s="3" t="s">
        <v>71</v>
      </c>
      <c r="C841" s="3" t="s">
        <v>36</v>
      </c>
      <c r="D841" s="3" t="s">
        <v>22</v>
      </c>
      <c r="E841" s="3" t="s">
        <v>30</v>
      </c>
      <c r="F841" s="3" t="s">
        <v>31</v>
      </c>
      <c r="G841" s="3" t="s">
        <v>32</v>
      </c>
      <c r="H841" s="3" t="s">
        <v>44</v>
      </c>
      <c r="I841" s="3" t="s">
        <v>45</v>
      </c>
      <c r="J841" s="6">
        <v>2023</v>
      </c>
      <c r="K841" s="3">
        <v>2785.54</v>
      </c>
      <c r="L841" s="3">
        <v>364462</v>
      </c>
      <c r="M841" s="3">
        <v>11320</v>
      </c>
      <c r="N841" s="3">
        <v>225</v>
      </c>
      <c r="O841" s="3">
        <v>2237.46</v>
      </c>
      <c r="P841" s="9">
        <f t="shared" si="65"/>
        <v>3.105947945190445</v>
      </c>
      <c r="Q841" s="11">
        <f t="shared" si="66"/>
        <v>0.19765547703180211</v>
      </c>
      <c r="R841" s="13">
        <f t="shared" si="67"/>
        <v>9.9442666666666675</v>
      </c>
      <c r="S841" s="4">
        <f t="shared" si="68"/>
        <v>1.2449563344149168</v>
      </c>
      <c r="T841" s="19" t="str">
        <f t="shared" si="69"/>
        <v>🟢 High</v>
      </c>
    </row>
    <row r="842" spans="1:20" x14ac:dyDescent="0.3">
      <c r="A842" s="16">
        <v>841</v>
      </c>
      <c r="B842" s="1" t="s">
        <v>28</v>
      </c>
      <c r="C842" s="1" t="s">
        <v>21</v>
      </c>
      <c r="D842" s="1" t="s">
        <v>46</v>
      </c>
      <c r="E842" s="1" t="s">
        <v>61</v>
      </c>
      <c r="F842" s="1" t="s">
        <v>31</v>
      </c>
      <c r="G842" s="1" t="s">
        <v>43</v>
      </c>
      <c r="H842" s="1" t="s">
        <v>58</v>
      </c>
      <c r="I842" s="1" t="s">
        <v>27</v>
      </c>
      <c r="J842" s="5">
        <v>2023</v>
      </c>
      <c r="K842" s="1">
        <v>12319.16</v>
      </c>
      <c r="L842" s="1">
        <v>566988</v>
      </c>
      <c r="M842" s="1">
        <v>7328</v>
      </c>
      <c r="N842" s="1">
        <v>360</v>
      </c>
      <c r="O842" s="1">
        <v>11876.74</v>
      </c>
      <c r="P842" s="8">
        <f t="shared" si="65"/>
        <v>1.2924435790528195</v>
      </c>
      <c r="Q842" s="10">
        <f t="shared" si="66"/>
        <v>1.6207341703056768</v>
      </c>
      <c r="R842" s="12">
        <f t="shared" si="67"/>
        <v>32.990944444444445</v>
      </c>
      <c r="S842" s="2">
        <f t="shared" si="68"/>
        <v>1.037250962806292</v>
      </c>
      <c r="T842" s="18" t="str">
        <f t="shared" si="69"/>
        <v>🔴 Low</v>
      </c>
    </row>
    <row r="843" spans="1:20" x14ac:dyDescent="0.3">
      <c r="A843" s="17">
        <v>842</v>
      </c>
      <c r="B843" s="3" t="s">
        <v>93</v>
      </c>
      <c r="C843" s="3" t="s">
        <v>36</v>
      </c>
      <c r="D843" s="3" t="s">
        <v>22</v>
      </c>
      <c r="E843" s="3" t="s">
        <v>23</v>
      </c>
      <c r="F843" s="3" t="s">
        <v>24</v>
      </c>
      <c r="G843" s="3" t="s">
        <v>25</v>
      </c>
      <c r="H843" s="3" t="s">
        <v>58</v>
      </c>
      <c r="I843" s="3" t="s">
        <v>27</v>
      </c>
      <c r="J843" s="6">
        <v>2023</v>
      </c>
      <c r="K843" s="3">
        <v>5718.02</v>
      </c>
      <c r="L843" s="3">
        <v>509967</v>
      </c>
      <c r="M843" s="3">
        <v>14719</v>
      </c>
      <c r="N843" s="3">
        <v>117</v>
      </c>
      <c r="O843" s="3">
        <v>3651.68</v>
      </c>
      <c r="P843" s="9">
        <f t="shared" si="65"/>
        <v>2.8862651897083538</v>
      </c>
      <c r="Q843" s="11">
        <f t="shared" si="66"/>
        <v>0.24809294109654187</v>
      </c>
      <c r="R843" s="13">
        <f t="shared" si="67"/>
        <v>31.210940170940169</v>
      </c>
      <c r="S843" s="4">
        <f t="shared" si="68"/>
        <v>1.5658600972702976</v>
      </c>
      <c r="T843" s="19" t="str">
        <f t="shared" si="69"/>
        <v>🟡 Mid</v>
      </c>
    </row>
    <row r="844" spans="1:20" x14ac:dyDescent="0.3">
      <c r="A844" s="16">
        <v>843</v>
      </c>
      <c r="B844" s="1" t="s">
        <v>73</v>
      </c>
      <c r="C844" s="1" t="s">
        <v>21</v>
      </c>
      <c r="D844" s="1" t="s">
        <v>41</v>
      </c>
      <c r="E844" s="1" t="s">
        <v>56</v>
      </c>
      <c r="F844" s="1" t="s">
        <v>47</v>
      </c>
      <c r="G844" s="1" t="s">
        <v>32</v>
      </c>
      <c r="H844" s="1" t="s">
        <v>33</v>
      </c>
      <c r="I844" s="1" t="s">
        <v>34</v>
      </c>
      <c r="J844" s="5">
        <v>2023</v>
      </c>
      <c r="K844" s="1">
        <v>5376.82</v>
      </c>
      <c r="L844" s="1">
        <v>212488</v>
      </c>
      <c r="M844" s="1">
        <v>632</v>
      </c>
      <c r="N844" s="1">
        <v>52</v>
      </c>
      <c r="O844" s="1">
        <v>4113.2</v>
      </c>
      <c r="P844" s="8">
        <f t="shared" si="65"/>
        <v>0.29742856067166146</v>
      </c>
      <c r="Q844" s="10">
        <f t="shared" si="66"/>
        <v>6.5082278481012654</v>
      </c>
      <c r="R844" s="12">
        <f t="shared" si="67"/>
        <v>79.099999999999994</v>
      </c>
      <c r="S844" s="2">
        <f t="shared" si="68"/>
        <v>1.3072109306622581</v>
      </c>
      <c r="T844" s="18" t="str">
        <f t="shared" si="69"/>
        <v>🔴 Low</v>
      </c>
    </row>
    <row r="845" spans="1:20" x14ac:dyDescent="0.3">
      <c r="A845" s="17">
        <v>844</v>
      </c>
      <c r="B845" s="3" t="s">
        <v>59</v>
      </c>
      <c r="C845" s="3" t="s">
        <v>21</v>
      </c>
      <c r="D845" s="3" t="s">
        <v>46</v>
      </c>
      <c r="E845" s="3" t="s">
        <v>30</v>
      </c>
      <c r="F845" s="3" t="s">
        <v>31</v>
      </c>
      <c r="G845" s="3" t="s">
        <v>50</v>
      </c>
      <c r="H845" s="3" t="s">
        <v>33</v>
      </c>
      <c r="I845" s="3" t="s">
        <v>34</v>
      </c>
      <c r="J845" s="6">
        <v>2024</v>
      </c>
      <c r="K845" s="3">
        <v>8762.8799999999992</v>
      </c>
      <c r="L845" s="3">
        <v>788369</v>
      </c>
      <c r="M845" s="3">
        <v>394</v>
      </c>
      <c r="N845" s="3">
        <v>22</v>
      </c>
      <c r="O845" s="3">
        <v>6430.85</v>
      </c>
      <c r="P845" s="9">
        <f t="shared" si="65"/>
        <v>4.9976597253316664E-2</v>
      </c>
      <c r="Q845" s="11">
        <f t="shared" si="66"/>
        <v>16.321954314720813</v>
      </c>
      <c r="R845" s="13">
        <f t="shared" si="67"/>
        <v>292.31136363636364</v>
      </c>
      <c r="S845" s="4">
        <f t="shared" si="68"/>
        <v>1.3626316894345225</v>
      </c>
      <c r="T845" s="19" t="str">
        <f t="shared" si="69"/>
        <v>🔴 Low</v>
      </c>
    </row>
    <row r="846" spans="1:20" x14ac:dyDescent="0.3">
      <c r="A846" s="16">
        <v>845</v>
      </c>
      <c r="B846" s="1" t="s">
        <v>35</v>
      </c>
      <c r="C846" s="1" t="s">
        <v>36</v>
      </c>
      <c r="D846" s="1" t="s">
        <v>41</v>
      </c>
      <c r="E846" s="1" t="s">
        <v>30</v>
      </c>
      <c r="F846" s="1" t="s">
        <v>31</v>
      </c>
      <c r="G846" s="1" t="s">
        <v>43</v>
      </c>
      <c r="H846" s="1" t="s">
        <v>37</v>
      </c>
      <c r="I846" s="1" t="s">
        <v>38</v>
      </c>
      <c r="J846" s="5">
        <v>2023</v>
      </c>
      <c r="K846" s="1">
        <v>9263.3700000000008</v>
      </c>
      <c r="L846" s="1">
        <v>40399</v>
      </c>
      <c r="M846" s="1">
        <v>1280</v>
      </c>
      <c r="N846" s="1">
        <v>118</v>
      </c>
      <c r="O846" s="1">
        <v>7907.49</v>
      </c>
      <c r="P846" s="8">
        <f t="shared" si="65"/>
        <v>3.1683952573083491</v>
      </c>
      <c r="Q846" s="10">
        <f t="shared" si="66"/>
        <v>6.1777265625000002</v>
      </c>
      <c r="R846" s="12">
        <f t="shared" si="67"/>
        <v>67.012627118644062</v>
      </c>
      <c r="S846" s="2">
        <f t="shared" si="68"/>
        <v>1.171467810898275</v>
      </c>
      <c r="T846" s="18" t="str">
        <f t="shared" si="69"/>
        <v>🟢 High</v>
      </c>
    </row>
    <row r="847" spans="1:20" x14ac:dyDescent="0.3">
      <c r="A847" s="17">
        <v>846</v>
      </c>
      <c r="B847" s="3" t="s">
        <v>78</v>
      </c>
      <c r="C847" s="3" t="s">
        <v>21</v>
      </c>
      <c r="D847" s="3" t="s">
        <v>41</v>
      </c>
      <c r="E847" s="3" t="s">
        <v>42</v>
      </c>
      <c r="F847" s="3" t="s">
        <v>24</v>
      </c>
      <c r="G847" s="3" t="s">
        <v>25</v>
      </c>
      <c r="H847" s="3" t="s">
        <v>37</v>
      </c>
      <c r="I847" s="3" t="s">
        <v>38</v>
      </c>
      <c r="J847" s="6">
        <v>2024</v>
      </c>
      <c r="K847" s="3">
        <v>15922.48</v>
      </c>
      <c r="L847" s="3">
        <v>380122</v>
      </c>
      <c r="M847" s="3">
        <v>2283</v>
      </c>
      <c r="N847" s="3">
        <v>181</v>
      </c>
      <c r="O847" s="3">
        <v>10992.52</v>
      </c>
      <c r="P847" s="9">
        <f t="shared" si="65"/>
        <v>0.60059665054903433</v>
      </c>
      <c r="Q847" s="11">
        <f t="shared" si="66"/>
        <v>4.8149452474813845</v>
      </c>
      <c r="R847" s="13">
        <f t="shared" si="67"/>
        <v>60.732154696132596</v>
      </c>
      <c r="S847" s="4">
        <f t="shared" si="68"/>
        <v>1.4484831503604267</v>
      </c>
      <c r="T847" s="19" t="str">
        <f t="shared" si="69"/>
        <v>🔴 Low</v>
      </c>
    </row>
    <row r="848" spans="1:20" x14ac:dyDescent="0.3">
      <c r="A848" s="16">
        <v>847</v>
      </c>
      <c r="B848" s="1" t="s">
        <v>100</v>
      </c>
      <c r="C848" s="1" t="s">
        <v>40</v>
      </c>
      <c r="D848" s="1" t="s">
        <v>46</v>
      </c>
      <c r="E848" s="1" t="s">
        <v>23</v>
      </c>
      <c r="F848" s="1" t="s">
        <v>24</v>
      </c>
      <c r="G848" s="1" t="s">
        <v>57</v>
      </c>
      <c r="H848" s="1" t="s">
        <v>37</v>
      </c>
      <c r="I848" s="1" t="s">
        <v>38</v>
      </c>
      <c r="J848" s="5">
        <v>2023</v>
      </c>
      <c r="K848" s="1">
        <v>14477.65</v>
      </c>
      <c r="L848" s="1">
        <v>229156</v>
      </c>
      <c r="M848" s="1">
        <v>1674</v>
      </c>
      <c r="N848" s="1">
        <v>157</v>
      </c>
      <c r="O848" s="1">
        <v>12101.71</v>
      </c>
      <c r="P848" s="8">
        <f t="shared" si="65"/>
        <v>0.73050672904047897</v>
      </c>
      <c r="Q848" s="10">
        <f t="shared" si="66"/>
        <v>7.2292174432497012</v>
      </c>
      <c r="R848" s="12">
        <f t="shared" si="67"/>
        <v>77.080955414012735</v>
      </c>
      <c r="S848" s="2">
        <f t="shared" si="68"/>
        <v>1.1963309317443569</v>
      </c>
      <c r="T848" s="18" t="str">
        <f t="shared" si="69"/>
        <v>🔴 Low</v>
      </c>
    </row>
    <row r="849" spans="1:20" x14ac:dyDescent="0.3">
      <c r="A849" s="17">
        <v>848</v>
      </c>
      <c r="B849" s="3" t="s">
        <v>77</v>
      </c>
      <c r="C849" s="3" t="s">
        <v>40</v>
      </c>
      <c r="D849" s="3" t="s">
        <v>29</v>
      </c>
      <c r="E849" s="3" t="s">
        <v>30</v>
      </c>
      <c r="F849" s="3" t="s">
        <v>31</v>
      </c>
      <c r="G849" s="3" t="s">
        <v>25</v>
      </c>
      <c r="H849" s="3" t="s">
        <v>58</v>
      </c>
      <c r="I849" s="3" t="s">
        <v>27</v>
      </c>
      <c r="J849" s="6">
        <v>2024</v>
      </c>
      <c r="K849" s="3">
        <v>14467.18</v>
      </c>
      <c r="L849" s="3">
        <v>708956</v>
      </c>
      <c r="M849" s="3">
        <v>12705</v>
      </c>
      <c r="N849" s="3">
        <v>155</v>
      </c>
      <c r="O849" s="3">
        <v>14104.33</v>
      </c>
      <c r="P849" s="9">
        <f t="shared" si="65"/>
        <v>1.792071722363588</v>
      </c>
      <c r="Q849" s="11">
        <f t="shared" si="66"/>
        <v>1.1101401023219204</v>
      </c>
      <c r="R849" s="13">
        <f t="shared" si="67"/>
        <v>90.995677419354834</v>
      </c>
      <c r="S849" s="4">
        <f t="shared" si="68"/>
        <v>1.0257261422556052</v>
      </c>
      <c r="T849" s="19" t="str">
        <f t="shared" si="69"/>
        <v>🟡 Mid</v>
      </c>
    </row>
    <row r="850" spans="1:20" x14ac:dyDescent="0.3">
      <c r="A850" s="16">
        <v>849</v>
      </c>
      <c r="B850" s="1" t="s">
        <v>82</v>
      </c>
      <c r="C850" s="1" t="s">
        <v>40</v>
      </c>
      <c r="D850" s="1" t="s">
        <v>13</v>
      </c>
      <c r="E850" s="1" t="s">
        <v>23</v>
      </c>
      <c r="F850" s="1" t="s">
        <v>24</v>
      </c>
      <c r="G850" s="1" t="s">
        <v>25</v>
      </c>
      <c r="H850" s="1" t="s">
        <v>68</v>
      </c>
      <c r="I850" s="1" t="s">
        <v>27</v>
      </c>
      <c r="J850" s="5">
        <v>2024</v>
      </c>
      <c r="K850" s="1">
        <v>10223.69</v>
      </c>
      <c r="L850" s="1">
        <v>292745</v>
      </c>
      <c r="M850" s="1">
        <v>4020</v>
      </c>
      <c r="N850" s="1">
        <v>249</v>
      </c>
      <c r="O850" s="1">
        <v>7537.8</v>
      </c>
      <c r="P850" s="8">
        <f t="shared" si="65"/>
        <v>1.373208765307691</v>
      </c>
      <c r="Q850" s="10">
        <f t="shared" si="66"/>
        <v>1.8750746268656717</v>
      </c>
      <c r="R850" s="12">
        <f t="shared" si="67"/>
        <v>30.272289156626506</v>
      </c>
      <c r="S850" s="2">
        <f t="shared" si="68"/>
        <v>1.3563227997558971</v>
      </c>
      <c r="T850" s="18" t="str">
        <f t="shared" si="69"/>
        <v>🔴 Low</v>
      </c>
    </row>
    <row r="851" spans="1:20" x14ac:dyDescent="0.3">
      <c r="A851" s="17">
        <v>850</v>
      </c>
      <c r="B851" s="3" t="s">
        <v>84</v>
      </c>
      <c r="C851" s="3" t="s">
        <v>40</v>
      </c>
      <c r="D851" s="3" t="s">
        <v>29</v>
      </c>
      <c r="E851" s="3" t="s">
        <v>42</v>
      </c>
      <c r="F851" s="3" t="s">
        <v>47</v>
      </c>
      <c r="G851" s="3" t="s">
        <v>57</v>
      </c>
      <c r="H851" s="3" t="s">
        <v>44</v>
      </c>
      <c r="I851" s="3" t="s">
        <v>45</v>
      </c>
      <c r="J851" s="6">
        <v>2023</v>
      </c>
      <c r="K851" s="3">
        <v>18277.04</v>
      </c>
      <c r="L851" s="3">
        <v>303179</v>
      </c>
      <c r="M851" s="3">
        <v>5221</v>
      </c>
      <c r="N851" s="3">
        <v>72</v>
      </c>
      <c r="O851" s="3">
        <v>18388.14</v>
      </c>
      <c r="P851" s="9">
        <f t="shared" si="65"/>
        <v>1.7220849729037961</v>
      </c>
      <c r="Q851" s="11">
        <f t="shared" si="66"/>
        <v>3.5219574794100748</v>
      </c>
      <c r="R851" s="13">
        <f t="shared" si="67"/>
        <v>255.39083333333332</v>
      </c>
      <c r="S851" s="4">
        <f t="shared" si="68"/>
        <v>0.99395806209872239</v>
      </c>
      <c r="T851" s="19" t="str">
        <f t="shared" si="69"/>
        <v>🟡 Mid</v>
      </c>
    </row>
    <row r="852" spans="1:20" x14ac:dyDescent="0.3">
      <c r="A852" s="16">
        <v>851</v>
      </c>
      <c r="B852" s="1" t="s">
        <v>91</v>
      </c>
      <c r="C852" s="1" t="s">
        <v>36</v>
      </c>
      <c r="D852" s="1" t="s">
        <v>13</v>
      </c>
      <c r="E852" s="1" t="s">
        <v>42</v>
      </c>
      <c r="F852" s="1" t="s">
        <v>24</v>
      </c>
      <c r="G852" s="1" t="s">
        <v>50</v>
      </c>
      <c r="H852" s="1" t="s">
        <v>58</v>
      </c>
      <c r="I852" s="1" t="s">
        <v>27</v>
      </c>
      <c r="J852" s="5">
        <v>2024</v>
      </c>
      <c r="K852" s="1">
        <v>14603.45</v>
      </c>
      <c r="L852" s="1">
        <v>293016</v>
      </c>
      <c r="M852" s="1">
        <v>7651</v>
      </c>
      <c r="N852" s="1">
        <v>425</v>
      </c>
      <c r="O852" s="1">
        <v>13513.12</v>
      </c>
      <c r="P852" s="8">
        <f t="shared" si="65"/>
        <v>2.6111202118655639</v>
      </c>
      <c r="Q852" s="10">
        <f t="shared" si="66"/>
        <v>1.7661900405175794</v>
      </c>
      <c r="R852" s="12">
        <f t="shared" si="67"/>
        <v>31.795576470588237</v>
      </c>
      <c r="S852" s="2">
        <f t="shared" si="68"/>
        <v>1.0806867695987308</v>
      </c>
      <c r="T852" s="18" t="str">
        <f t="shared" si="69"/>
        <v>🟡 Mid</v>
      </c>
    </row>
    <row r="853" spans="1:20" x14ac:dyDescent="0.3">
      <c r="A853" s="17">
        <v>852</v>
      </c>
      <c r="B853" s="3" t="s">
        <v>51</v>
      </c>
      <c r="C853" s="3" t="s">
        <v>40</v>
      </c>
      <c r="D853" s="3" t="s">
        <v>41</v>
      </c>
      <c r="E853" s="3" t="s">
        <v>23</v>
      </c>
      <c r="F853" s="3" t="s">
        <v>31</v>
      </c>
      <c r="G853" s="3" t="s">
        <v>50</v>
      </c>
      <c r="H853" s="3" t="s">
        <v>48</v>
      </c>
      <c r="I853" s="3" t="s">
        <v>34</v>
      </c>
      <c r="J853" s="6">
        <v>2023</v>
      </c>
      <c r="K853" s="3">
        <v>16939.98</v>
      </c>
      <c r="L853" s="3">
        <v>652995</v>
      </c>
      <c r="M853" s="3">
        <v>13191</v>
      </c>
      <c r="N853" s="3">
        <v>899</v>
      </c>
      <c r="O853" s="3">
        <v>11757.8</v>
      </c>
      <c r="P853" s="9">
        <f t="shared" si="65"/>
        <v>2.0200767234052326</v>
      </c>
      <c r="Q853" s="11">
        <f t="shared" si="66"/>
        <v>0.89135016298991732</v>
      </c>
      <c r="R853" s="13">
        <f t="shared" si="67"/>
        <v>13.078754171301446</v>
      </c>
      <c r="S853" s="4">
        <f t="shared" si="68"/>
        <v>1.4407440167378252</v>
      </c>
      <c r="T853" s="19" t="str">
        <f t="shared" si="69"/>
        <v>🟡 Mid</v>
      </c>
    </row>
    <row r="854" spans="1:20" x14ac:dyDescent="0.3">
      <c r="A854" s="16">
        <v>853</v>
      </c>
      <c r="B854" s="1" t="s">
        <v>55</v>
      </c>
      <c r="C854" s="1" t="s">
        <v>36</v>
      </c>
      <c r="D854" s="1" t="s">
        <v>22</v>
      </c>
      <c r="E854" s="1" t="s">
        <v>23</v>
      </c>
      <c r="F854" s="1" t="s">
        <v>31</v>
      </c>
      <c r="G854" s="1" t="s">
        <v>50</v>
      </c>
      <c r="H854" s="1" t="s">
        <v>83</v>
      </c>
      <c r="I854" s="1" t="s">
        <v>38</v>
      </c>
      <c r="J854" s="5">
        <v>2023</v>
      </c>
      <c r="K854" s="1">
        <v>2216.33</v>
      </c>
      <c r="L854" s="1">
        <v>764282</v>
      </c>
      <c r="M854" s="1">
        <v>24396</v>
      </c>
      <c r="N854" s="1">
        <v>452</v>
      </c>
      <c r="O854" s="1">
        <v>2250.94</v>
      </c>
      <c r="P854" s="8">
        <f t="shared" si="65"/>
        <v>3.1920155125987533</v>
      </c>
      <c r="Q854" s="10">
        <f t="shared" si="66"/>
        <v>9.2266765043449744E-2</v>
      </c>
      <c r="R854" s="12">
        <f t="shared" si="67"/>
        <v>4.9799557522123896</v>
      </c>
      <c r="S854" s="2">
        <f t="shared" si="68"/>
        <v>0.98462420144472973</v>
      </c>
      <c r="T854" s="18" t="str">
        <f t="shared" si="69"/>
        <v>🟢 High</v>
      </c>
    </row>
    <row r="855" spans="1:20" x14ac:dyDescent="0.3">
      <c r="A855" s="17">
        <v>854</v>
      </c>
      <c r="B855" s="3" t="s">
        <v>28</v>
      </c>
      <c r="C855" s="3" t="s">
        <v>21</v>
      </c>
      <c r="D855" s="3" t="s">
        <v>13</v>
      </c>
      <c r="E855" s="3" t="s">
        <v>42</v>
      </c>
      <c r="F855" s="3" t="s">
        <v>24</v>
      </c>
      <c r="G855" s="3" t="s">
        <v>57</v>
      </c>
      <c r="H855" s="3" t="s">
        <v>52</v>
      </c>
      <c r="I855" s="3" t="s">
        <v>38</v>
      </c>
      <c r="J855" s="6">
        <v>2023</v>
      </c>
      <c r="K855" s="3">
        <v>5642.68</v>
      </c>
      <c r="L855" s="3">
        <v>726338</v>
      </c>
      <c r="M855" s="3">
        <v>3076</v>
      </c>
      <c r="N855" s="3">
        <v>285</v>
      </c>
      <c r="O855" s="3">
        <v>5311.14</v>
      </c>
      <c r="P855" s="9">
        <f t="shared" si="65"/>
        <v>0.42349429604399058</v>
      </c>
      <c r="Q855" s="11">
        <f t="shared" si="66"/>
        <v>1.7266384915474644</v>
      </c>
      <c r="R855" s="13">
        <f t="shared" si="67"/>
        <v>18.635578947368423</v>
      </c>
      <c r="S855" s="4">
        <f t="shared" si="68"/>
        <v>1.0624235098302812</v>
      </c>
      <c r="T855" s="19" t="str">
        <f t="shared" si="69"/>
        <v>🔴 Low</v>
      </c>
    </row>
    <row r="856" spans="1:20" x14ac:dyDescent="0.3">
      <c r="A856" s="16">
        <v>855</v>
      </c>
      <c r="B856" s="1" t="s">
        <v>92</v>
      </c>
      <c r="C856" s="1" t="s">
        <v>40</v>
      </c>
      <c r="D856" s="1" t="s">
        <v>46</v>
      </c>
      <c r="E856" s="1" t="s">
        <v>61</v>
      </c>
      <c r="F856" s="1" t="s">
        <v>47</v>
      </c>
      <c r="G856" s="1" t="s">
        <v>57</v>
      </c>
      <c r="H856" s="1" t="s">
        <v>26</v>
      </c>
      <c r="I856" s="1" t="s">
        <v>27</v>
      </c>
      <c r="J856" s="5">
        <v>2024</v>
      </c>
      <c r="K856" s="1">
        <v>17306.95</v>
      </c>
      <c r="L856" s="1">
        <v>794614</v>
      </c>
      <c r="M856" s="1">
        <v>6029</v>
      </c>
      <c r="N856" s="1">
        <v>565</v>
      </c>
      <c r="O856" s="1">
        <v>15013.77</v>
      </c>
      <c r="P856" s="8">
        <f t="shared" si="65"/>
        <v>0.75873317107425742</v>
      </c>
      <c r="Q856" s="10">
        <f t="shared" si="66"/>
        <v>2.4902587493780062</v>
      </c>
      <c r="R856" s="12">
        <f t="shared" si="67"/>
        <v>26.57304424778761</v>
      </c>
      <c r="S856" s="2">
        <f t="shared" si="68"/>
        <v>1.1527384527670266</v>
      </c>
      <c r="T856" s="18" t="str">
        <f t="shared" si="69"/>
        <v>🔴 Low</v>
      </c>
    </row>
    <row r="857" spans="1:20" x14ac:dyDescent="0.3">
      <c r="A857" s="17">
        <v>856</v>
      </c>
      <c r="B857" s="3" t="s">
        <v>103</v>
      </c>
      <c r="C857" s="3" t="s">
        <v>21</v>
      </c>
      <c r="D857" s="3" t="s">
        <v>29</v>
      </c>
      <c r="E857" s="3" t="s">
        <v>61</v>
      </c>
      <c r="F857" s="3" t="s">
        <v>24</v>
      </c>
      <c r="G857" s="3" t="s">
        <v>32</v>
      </c>
      <c r="H857" s="3" t="s">
        <v>48</v>
      </c>
      <c r="I857" s="3" t="s">
        <v>34</v>
      </c>
      <c r="J857" s="6">
        <v>2024</v>
      </c>
      <c r="K857" s="3">
        <v>19538.810000000001</v>
      </c>
      <c r="L857" s="3">
        <v>342548</v>
      </c>
      <c r="M857" s="3">
        <v>714</v>
      </c>
      <c r="N857" s="3">
        <v>23</v>
      </c>
      <c r="O857" s="3">
        <v>15684.52</v>
      </c>
      <c r="P857" s="9">
        <f t="shared" si="65"/>
        <v>0.20843794154395881</v>
      </c>
      <c r="Q857" s="11">
        <f t="shared" si="66"/>
        <v>21.967114845938376</v>
      </c>
      <c r="R857" s="13">
        <f t="shared" si="67"/>
        <v>681.93565217391301</v>
      </c>
      <c r="S857" s="4">
        <f t="shared" si="68"/>
        <v>1.2457384733482439</v>
      </c>
      <c r="T857" s="19" t="str">
        <f t="shared" si="69"/>
        <v>🔴 Low</v>
      </c>
    </row>
    <row r="858" spans="1:20" x14ac:dyDescent="0.3">
      <c r="A858" s="16">
        <v>857</v>
      </c>
      <c r="B858" s="1" t="s">
        <v>71</v>
      </c>
      <c r="C858" s="1" t="s">
        <v>36</v>
      </c>
      <c r="D858" s="1" t="s">
        <v>13</v>
      </c>
      <c r="E858" s="1" t="s">
        <v>42</v>
      </c>
      <c r="F858" s="1" t="s">
        <v>47</v>
      </c>
      <c r="G858" s="1" t="s">
        <v>32</v>
      </c>
      <c r="H858" s="1" t="s">
        <v>83</v>
      </c>
      <c r="I858" s="1" t="s">
        <v>38</v>
      </c>
      <c r="J858" s="5">
        <v>2023</v>
      </c>
      <c r="K858" s="1">
        <v>14051.82</v>
      </c>
      <c r="L858" s="1">
        <v>83794</v>
      </c>
      <c r="M858" s="1">
        <v>2491</v>
      </c>
      <c r="N858" s="1">
        <v>126</v>
      </c>
      <c r="O858" s="1">
        <v>9706.67</v>
      </c>
      <c r="P858" s="8">
        <f t="shared" si="65"/>
        <v>2.972766546530778</v>
      </c>
      <c r="Q858" s="10">
        <f t="shared" si="66"/>
        <v>3.8966961059815337</v>
      </c>
      <c r="R858" s="12">
        <f t="shared" si="67"/>
        <v>77.037063492063496</v>
      </c>
      <c r="S858" s="2">
        <f t="shared" si="68"/>
        <v>1.4476457940776806</v>
      </c>
      <c r="T858" s="18" t="str">
        <f t="shared" si="69"/>
        <v>🟡 Mid</v>
      </c>
    </row>
    <row r="859" spans="1:20" x14ac:dyDescent="0.3">
      <c r="A859" s="17">
        <v>858</v>
      </c>
      <c r="B859" s="3" t="s">
        <v>87</v>
      </c>
      <c r="C859" s="3" t="s">
        <v>40</v>
      </c>
      <c r="D859" s="3" t="s">
        <v>41</v>
      </c>
      <c r="E859" s="3" t="s">
        <v>42</v>
      </c>
      <c r="F859" s="3" t="s">
        <v>47</v>
      </c>
      <c r="G859" s="3" t="s">
        <v>25</v>
      </c>
      <c r="H859" s="3" t="s">
        <v>79</v>
      </c>
      <c r="I859" s="3" t="s">
        <v>45</v>
      </c>
      <c r="J859" s="6">
        <v>2024</v>
      </c>
      <c r="K859" s="3">
        <v>15329.52</v>
      </c>
      <c r="L859" s="3">
        <v>331972</v>
      </c>
      <c r="M859" s="3">
        <v>5208</v>
      </c>
      <c r="N859" s="3">
        <v>607</v>
      </c>
      <c r="O859" s="3">
        <v>13416.73</v>
      </c>
      <c r="P859" s="9">
        <f t="shared" si="65"/>
        <v>1.5688070078199365</v>
      </c>
      <c r="Q859" s="11">
        <f t="shared" si="66"/>
        <v>2.5761770353302609</v>
      </c>
      <c r="R859" s="13">
        <f t="shared" si="67"/>
        <v>22.10334431630972</v>
      </c>
      <c r="S859" s="4">
        <f t="shared" si="68"/>
        <v>1.1425675257682013</v>
      </c>
      <c r="T859" s="19" t="str">
        <f t="shared" si="69"/>
        <v>🟡 Mid</v>
      </c>
    </row>
    <row r="860" spans="1:20" x14ac:dyDescent="0.3">
      <c r="A860" s="16">
        <v>859</v>
      </c>
      <c r="B860" s="1" t="s">
        <v>20</v>
      </c>
      <c r="C860" s="1" t="s">
        <v>21</v>
      </c>
      <c r="D860" s="1" t="s">
        <v>46</v>
      </c>
      <c r="E860" s="1" t="s">
        <v>30</v>
      </c>
      <c r="F860" s="1" t="s">
        <v>47</v>
      </c>
      <c r="G860" s="1" t="s">
        <v>50</v>
      </c>
      <c r="H860" s="1" t="s">
        <v>48</v>
      </c>
      <c r="I860" s="1" t="s">
        <v>34</v>
      </c>
      <c r="J860" s="5">
        <v>2023</v>
      </c>
      <c r="K860" s="1">
        <v>15710.41</v>
      </c>
      <c r="L860" s="1">
        <v>202083</v>
      </c>
      <c r="M860" s="1">
        <v>2377</v>
      </c>
      <c r="N860" s="1">
        <v>192</v>
      </c>
      <c r="O860" s="1">
        <v>15704.56</v>
      </c>
      <c r="P860" s="8">
        <f t="shared" si="65"/>
        <v>1.176249362885547</v>
      </c>
      <c r="Q860" s="10">
        <f t="shared" si="66"/>
        <v>6.6068826251577617</v>
      </c>
      <c r="R860" s="12">
        <f t="shared" si="67"/>
        <v>81.794583333333335</v>
      </c>
      <c r="S860" s="2">
        <f t="shared" si="68"/>
        <v>1.0003725032729347</v>
      </c>
      <c r="T860" s="18" t="str">
        <f t="shared" si="69"/>
        <v>🔴 Low</v>
      </c>
    </row>
    <row r="861" spans="1:20" x14ac:dyDescent="0.3">
      <c r="A861" s="17">
        <v>860</v>
      </c>
      <c r="B861" s="3" t="s">
        <v>20</v>
      </c>
      <c r="C861" s="3" t="s">
        <v>21</v>
      </c>
      <c r="D861" s="3" t="s">
        <v>46</v>
      </c>
      <c r="E861" s="3" t="s">
        <v>56</v>
      </c>
      <c r="F861" s="3" t="s">
        <v>24</v>
      </c>
      <c r="G861" s="3" t="s">
        <v>57</v>
      </c>
      <c r="H861" s="3" t="s">
        <v>83</v>
      </c>
      <c r="I861" s="3" t="s">
        <v>38</v>
      </c>
      <c r="J861" s="6">
        <v>2023</v>
      </c>
      <c r="K861" s="3">
        <v>17934.91</v>
      </c>
      <c r="L861" s="3">
        <v>201114</v>
      </c>
      <c r="M861" s="3">
        <v>1848</v>
      </c>
      <c r="N861" s="3">
        <v>103</v>
      </c>
      <c r="O861" s="3">
        <v>14348.3</v>
      </c>
      <c r="P861" s="9">
        <f t="shared" si="65"/>
        <v>0.91888182821683229</v>
      </c>
      <c r="Q861" s="11">
        <f t="shared" si="66"/>
        <v>7.7642316017316011</v>
      </c>
      <c r="R861" s="13">
        <f t="shared" si="67"/>
        <v>139.30388349514561</v>
      </c>
      <c r="S861" s="4">
        <f t="shared" si="68"/>
        <v>1.2499675919795377</v>
      </c>
      <c r="T861" s="19" t="str">
        <f t="shared" si="69"/>
        <v>🔴 Low</v>
      </c>
    </row>
    <row r="862" spans="1:20" x14ac:dyDescent="0.3">
      <c r="A862" s="16">
        <v>861</v>
      </c>
      <c r="B862" s="1" t="s">
        <v>53</v>
      </c>
      <c r="C862" s="1" t="s">
        <v>21</v>
      </c>
      <c r="D862" s="1" t="s">
        <v>13</v>
      </c>
      <c r="E862" s="1" t="s">
        <v>23</v>
      </c>
      <c r="F862" s="1" t="s">
        <v>24</v>
      </c>
      <c r="G862" s="1" t="s">
        <v>32</v>
      </c>
      <c r="H862" s="1" t="s">
        <v>58</v>
      </c>
      <c r="I862" s="1" t="s">
        <v>27</v>
      </c>
      <c r="J862" s="5">
        <v>2024</v>
      </c>
      <c r="K862" s="1">
        <v>8913.74</v>
      </c>
      <c r="L862" s="1">
        <v>162936</v>
      </c>
      <c r="M862" s="1">
        <v>450</v>
      </c>
      <c r="N862" s="1">
        <v>33</v>
      </c>
      <c r="O862" s="1">
        <v>7000.52</v>
      </c>
      <c r="P862" s="8">
        <f t="shared" si="65"/>
        <v>0.27618205921343347</v>
      </c>
      <c r="Q862" s="10">
        <f t="shared" si="66"/>
        <v>15.556711111111111</v>
      </c>
      <c r="R862" s="12">
        <f t="shared" si="67"/>
        <v>212.13696969696971</v>
      </c>
      <c r="S862" s="2">
        <f t="shared" si="68"/>
        <v>1.2732968408061114</v>
      </c>
      <c r="T862" s="18" t="str">
        <f t="shared" si="69"/>
        <v>🔴 Low</v>
      </c>
    </row>
    <row r="863" spans="1:20" x14ac:dyDescent="0.3">
      <c r="A863" s="17">
        <v>862</v>
      </c>
      <c r="B863" s="3" t="s">
        <v>39</v>
      </c>
      <c r="C863" s="3" t="s">
        <v>40</v>
      </c>
      <c r="D863" s="3" t="s">
        <v>22</v>
      </c>
      <c r="E863" s="3" t="s">
        <v>56</v>
      </c>
      <c r="F863" s="3" t="s">
        <v>31</v>
      </c>
      <c r="G863" s="3" t="s">
        <v>50</v>
      </c>
      <c r="H863" s="3" t="s">
        <v>83</v>
      </c>
      <c r="I863" s="3" t="s">
        <v>38</v>
      </c>
      <c r="J863" s="6">
        <v>2024</v>
      </c>
      <c r="K863" s="3">
        <v>4194.2700000000004</v>
      </c>
      <c r="L863" s="3">
        <v>190225</v>
      </c>
      <c r="M863" s="3">
        <v>3652</v>
      </c>
      <c r="N863" s="3">
        <v>50</v>
      </c>
      <c r="O863" s="3">
        <v>3449.44</v>
      </c>
      <c r="P863" s="9">
        <f t="shared" si="65"/>
        <v>1.919831778157445</v>
      </c>
      <c r="Q863" s="11">
        <f t="shared" si="66"/>
        <v>0.9445345016429354</v>
      </c>
      <c r="R863" s="13">
        <f t="shared" si="67"/>
        <v>68.988799999999998</v>
      </c>
      <c r="S863" s="4">
        <f t="shared" si="68"/>
        <v>1.2159278027737837</v>
      </c>
      <c r="T863" s="19" t="str">
        <f t="shared" si="69"/>
        <v>🟡 Mid</v>
      </c>
    </row>
    <row r="864" spans="1:20" x14ac:dyDescent="0.3">
      <c r="A864" s="16">
        <v>863</v>
      </c>
      <c r="B864" s="1" t="s">
        <v>80</v>
      </c>
      <c r="C864" s="1" t="s">
        <v>40</v>
      </c>
      <c r="D864" s="1" t="s">
        <v>22</v>
      </c>
      <c r="E864" s="1" t="s">
        <v>42</v>
      </c>
      <c r="F864" s="1" t="s">
        <v>31</v>
      </c>
      <c r="G864" s="1" t="s">
        <v>25</v>
      </c>
      <c r="H864" s="1" t="s">
        <v>58</v>
      </c>
      <c r="I864" s="1" t="s">
        <v>27</v>
      </c>
      <c r="J864" s="5">
        <v>2023</v>
      </c>
      <c r="K864" s="1">
        <v>2746.16</v>
      </c>
      <c r="L864" s="1">
        <v>42421</v>
      </c>
      <c r="M864" s="1">
        <v>539</v>
      </c>
      <c r="N864" s="1">
        <v>6</v>
      </c>
      <c r="O864" s="1">
        <v>1965.41</v>
      </c>
      <c r="P864" s="8">
        <f t="shared" si="65"/>
        <v>1.2705971099219726</v>
      </c>
      <c r="Q864" s="10">
        <f t="shared" si="66"/>
        <v>3.646400742115028</v>
      </c>
      <c r="R864" s="12">
        <f t="shared" si="67"/>
        <v>327.56833333333333</v>
      </c>
      <c r="S864" s="2">
        <f t="shared" si="68"/>
        <v>1.3972453584748219</v>
      </c>
      <c r="T864" s="18" t="str">
        <f t="shared" si="69"/>
        <v>🔴 Low</v>
      </c>
    </row>
    <row r="865" spans="1:20" x14ac:dyDescent="0.3">
      <c r="A865" s="17">
        <v>864</v>
      </c>
      <c r="B865" s="3" t="s">
        <v>76</v>
      </c>
      <c r="C865" s="3" t="s">
        <v>21</v>
      </c>
      <c r="D865" s="3" t="s">
        <v>41</v>
      </c>
      <c r="E865" s="3" t="s">
        <v>56</v>
      </c>
      <c r="F865" s="3" t="s">
        <v>24</v>
      </c>
      <c r="G865" s="3" t="s">
        <v>25</v>
      </c>
      <c r="H865" s="3" t="s">
        <v>54</v>
      </c>
      <c r="I865" s="3" t="s">
        <v>45</v>
      </c>
      <c r="J865" s="6">
        <v>2024</v>
      </c>
      <c r="K865" s="3">
        <v>10155.85</v>
      </c>
      <c r="L865" s="3">
        <v>184337</v>
      </c>
      <c r="M865" s="3">
        <v>980</v>
      </c>
      <c r="N865" s="3">
        <v>120</v>
      </c>
      <c r="O865" s="3">
        <v>7576.32</v>
      </c>
      <c r="P865" s="9">
        <f t="shared" si="65"/>
        <v>0.53163499460227737</v>
      </c>
      <c r="Q865" s="11">
        <f t="shared" si="66"/>
        <v>7.7309387755102037</v>
      </c>
      <c r="R865" s="13">
        <f t="shared" si="67"/>
        <v>63.135999999999996</v>
      </c>
      <c r="S865" s="4">
        <f t="shared" si="68"/>
        <v>1.3404726833079914</v>
      </c>
      <c r="T865" s="19" t="str">
        <f t="shared" si="69"/>
        <v>🔴 Low</v>
      </c>
    </row>
    <row r="866" spans="1:20" x14ac:dyDescent="0.3">
      <c r="A866" s="16">
        <v>865</v>
      </c>
      <c r="B866" s="1" t="s">
        <v>77</v>
      </c>
      <c r="C866" s="1" t="s">
        <v>40</v>
      </c>
      <c r="D866" s="1" t="s">
        <v>22</v>
      </c>
      <c r="E866" s="1" t="s">
        <v>42</v>
      </c>
      <c r="F866" s="1" t="s">
        <v>24</v>
      </c>
      <c r="G866" s="1" t="s">
        <v>32</v>
      </c>
      <c r="H866" s="1" t="s">
        <v>54</v>
      </c>
      <c r="I866" s="1" t="s">
        <v>45</v>
      </c>
      <c r="J866" s="5">
        <v>2024</v>
      </c>
      <c r="K866" s="1">
        <v>14912.27</v>
      </c>
      <c r="L866" s="1">
        <v>726353</v>
      </c>
      <c r="M866" s="1">
        <v>11847</v>
      </c>
      <c r="N866" s="1">
        <v>71</v>
      </c>
      <c r="O866" s="1">
        <v>10120.73</v>
      </c>
      <c r="P866" s="8">
        <f t="shared" si="65"/>
        <v>1.6310251351615537</v>
      </c>
      <c r="Q866" s="10">
        <f t="shared" si="66"/>
        <v>0.85428631721110826</v>
      </c>
      <c r="R866" s="12">
        <f t="shared" si="67"/>
        <v>142.54549295774646</v>
      </c>
      <c r="S866" s="2">
        <f t="shared" si="68"/>
        <v>1.4734381808426864</v>
      </c>
      <c r="T866" s="18" t="str">
        <f t="shared" si="69"/>
        <v>🟡 Mid</v>
      </c>
    </row>
    <row r="867" spans="1:20" x14ac:dyDescent="0.3">
      <c r="A867" s="17">
        <v>866</v>
      </c>
      <c r="B867" s="3" t="s">
        <v>102</v>
      </c>
      <c r="C867" s="3" t="s">
        <v>40</v>
      </c>
      <c r="D867" s="3" t="s">
        <v>22</v>
      </c>
      <c r="E867" s="3" t="s">
        <v>56</v>
      </c>
      <c r="F867" s="3" t="s">
        <v>47</v>
      </c>
      <c r="G867" s="3" t="s">
        <v>43</v>
      </c>
      <c r="H867" s="3" t="s">
        <v>68</v>
      </c>
      <c r="I867" s="3" t="s">
        <v>27</v>
      </c>
      <c r="J867" s="6">
        <v>2023</v>
      </c>
      <c r="K867" s="3">
        <v>19500.23</v>
      </c>
      <c r="L867" s="3">
        <v>85716</v>
      </c>
      <c r="M867" s="3">
        <v>1743</v>
      </c>
      <c r="N867" s="3">
        <v>13</v>
      </c>
      <c r="O867" s="3">
        <v>17926.75</v>
      </c>
      <c r="P867" s="9">
        <f t="shared" si="65"/>
        <v>2.0334593308133835</v>
      </c>
      <c r="Q867" s="11">
        <f t="shared" si="66"/>
        <v>10.284997131382674</v>
      </c>
      <c r="R867" s="13">
        <f t="shared" si="67"/>
        <v>1378.9807692307693</v>
      </c>
      <c r="S867" s="4">
        <f t="shared" si="68"/>
        <v>1.0877727418522598</v>
      </c>
      <c r="T867" s="19" t="str">
        <f t="shared" si="69"/>
        <v>🟡 Mid</v>
      </c>
    </row>
    <row r="868" spans="1:20" x14ac:dyDescent="0.3">
      <c r="A868" s="16">
        <v>867</v>
      </c>
      <c r="B868" s="1" t="s">
        <v>72</v>
      </c>
      <c r="C868" s="1" t="s">
        <v>36</v>
      </c>
      <c r="D868" s="1" t="s">
        <v>41</v>
      </c>
      <c r="E868" s="1" t="s">
        <v>61</v>
      </c>
      <c r="F868" s="1" t="s">
        <v>24</v>
      </c>
      <c r="G868" s="1" t="s">
        <v>50</v>
      </c>
      <c r="H868" s="1" t="s">
        <v>83</v>
      </c>
      <c r="I868" s="1" t="s">
        <v>38</v>
      </c>
      <c r="J868" s="5">
        <v>2024</v>
      </c>
      <c r="K868" s="1">
        <v>2633.03</v>
      </c>
      <c r="L868" s="1">
        <v>23235</v>
      </c>
      <c r="M868" s="1">
        <v>327</v>
      </c>
      <c r="N868" s="1">
        <v>41</v>
      </c>
      <c r="O868" s="1">
        <v>2160.6999999999998</v>
      </c>
      <c r="P868" s="8">
        <f t="shared" si="65"/>
        <v>1.4073595868302131</v>
      </c>
      <c r="Q868" s="10">
        <f t="shared" si="66"/>
        <v>6.6076452599388373</v>
      </c>
      <c r="R868" s="12">
        <f t="shared" si="67"/>
        <v>52.699999999999996</v>
      </c>
      <c r="S868" s="2">
        <f t="shared" si="68"/>
        <v>1.2186004535567179</v>
      </c>
      <c r="T868" s="18" t="str">
        <f t="shared" si="69"/>
        <v>🔴 Low</v>
      </c>
    </row>
    <row r="869" spans="1:20" x14ac:dyDescent="0.3">
      <c r="A869" s="17">
        <v>868</v>
      </c>
      <c r="B869" s="3" t="s">
        <v>65</v>
      </c>
      <c r="C869" s="3" t="s">
        <v>36</v>
      </c>
      <c r="D869" s="3" t="s">
        <v>22</v>
      </c>
      <c r="E869" s="3" t="s">
        <v>42</v>
      </c>
      <c r="F869" s="3" t="s">
        <v>47</v>
      </c>
      <c r="G869" s="3" t="s">
        <v>43</v>
      </c>
      <c r="H869" s="3" t="s">
        <v>48</v>
      </c>
      <c r="I869" s="3" t="s">
        <v>34</v>
      </c>
      <c r="J869" s="6">
        <v>2024</v>
      </c>
      <c r="K869" s="3">
        <v>14828.89</v>
      </c>
      <c r="L869" s="3">
        <v>577223</v>
      </c>
      <c r="M869" s="3">
        <v>12553</v>
      </c>
      <c r="N869" s="3">
        <v>111</v>
      </c>
      <c r="O869" s="3">
        <v>11927.28</v>
      </c>
      <c r="P869" s="9">
        <f t="shared" si="65"/>
        <v>2.1747227674572911</v>
      </c>
      <c r="Q869" s="11">
        <f t="shared" si="66"/>
        <v>0.950153748108022</v>
      </c>
      <c r="R869" s="13">
        <f t="shared" si="67"/>
        <v>107.45297297297297</v>
      </c>
      <c r="S869" s="4">
        <f t="shared" si="68"/>
        <v>1.2432750803200729</v>
      </c>
      <c r="T869" s="19" t="str">
        <f t="shared" si="69"/>
        <v>🟡 Mid</v>
      </c>
    </row>
    <row r="870" spans="1:20" x14ac:dyDescent="0.3">
      <c r="A870" s="16">
        <v>869</v>
      </c>
      <c r="B870" s="1" t="s">
        <v>66</v>
      </c>
      <c r="C870" s="1" t="s">
        <v>40</v>
      </c>
      <c r="D870" s="1" t="s">
        <v>22</v>
      </c>
      <c r="E870" s="1" t="s">
        <v>23</v>
      </c>
      <c r="F870" s="1" t="s">
        <v>47</v>
      </c>
      <c r="G870" s="1" t="s">
        <v>43</v>
      </c>
      <c r="H870" s="1" t="s">
        <v>81</v>
      </c>
      <c r="I870" s="1" t="s">
        <v>34</v>
      </c>
      <c r="J870" s="5">
        <v>2024</v>
      </c>
      <c r="K870" s="1">
        <v>2698.84</v>
      </c>
      <c r="L870" s="1">
        <v>724096</v>
      </c>
      <c r="M870" s="1">
        <v>6449</v>
      </c>
      <c r="N870" s="1">
        <v>46</v>
      </c>
      <c r="O870" s="1">
        <v>2084.41</v>
      </c>
      <c r="P870" s="8">
        <f t="shared" si="65"/>
        <v>0.89062776206469862</v>
      </c>
      <c r="Q870" s="10">
        <f t="shared" si="66"/>
        <v>0.32321445185300046</v>
      </c>
      <c r="R870" s="12">
        <f t="shared" si="67"/>
        <v>45.313260869565212</v>
      </c>
      <c r="S870" s="2">
        <f t="shared" si="68"/>
        <v>1.2947740607653966</v>
      </c>
      <c r="T870" s="18" t="str">
        <f t="shared" si="69"/>
        <v>🔴 Low</v>
      </c>
    </row>
    <row r="871" spans="1:20" x14ac:dyDescent="0.3">
      <c r="A871" s="17">
        <v>870</v>
      </c>
      <c r="B871" s="3" t="s">
        <v>65</v>
      </c>
      <c r="C871" s="3" t="s">
        <v>36</v>
      </c>
      <c r="D871" s="3" t="s">
        <v>13</v>
      </c>
      <c r="E871" s="3" t="s">
        <v>56</v>
      </c>
      <c r="F871" s="3" t="s">
        <v>24</v>
      </c>
      <c r="G871" s="3" t="s">
        <v>25</v>
      </c>
      <c r="H871" s="3" t="s">
        <v>79</v>
      </c>
      <c r="I871" s="3" t="s">
        <v>45</v>
      </c>
      <c r="J871" s="6">
        <v>2024</v>
      </c>
      <c r="K871" s="3">
        <v>7508.69</v>
      </c>
      <c r="L871" s="3">
        <v>785523</v>
      </c>
      <c r="M871" s="3">
        <v>21315</v>
      </c>
      <c r="N871" s="3">
        <v>1198</v>
      </c>
      <c r="O871" s="3">
        <v>7408.61</v>
      </c>
      <c r="P871" s="9">
        <f t="shared" si="65"/>
        <v>2.7134787905637392</v>
      </c>
      <c r="Q871" s="11">
        <f t="shared" si="66"/>
        <v>0.34757729298615997</v>
      </c>
      <c r="R871" s="13">
        <f t="shared" si="67"/>
        <v>6.1841485809682801</v>
      </c>
      <c r="S871" s="4">
        <f t="shared" si="68"/>
        <v>1.0135086068776733</v>
      </c>
      <c r="T871" s="19" t="str">
        <f t="shared" si="69"/>
        <v>🟡 Mid</v>
      </c>
    </row>
    <row r="872" spans="1:20" x14ac:dyDescent="0.3">
      <c r="A872" s="16">
        <v>871</v>
      </c>
      <c r="B872" s="1" t="s">
        <v>39</v>
      </c>
      <c r="C872" s="1" t="s">
        <v>40</v>
      </c>
      <c r="D872" s="1" t="s">
        <v>13</v>
      </c>
      <c r="E872" s="1" t="s">
        <v>61</v>
      </c>
      <c r="F872" s="1" t="s">
        <v>47</v>
      </c>
      <c r="G872" s="1" t="s">
        <v>32</v>
      </c>
      <c r="H872" s="1" t="s">
        <v>26</v>
      </c>
      <c r="I872" s="1" t="s">
        <v>27</v>
      </c>
      <c r="J872" s="5">
        <v>2024</v>
      </c>
      <c r="K872" s="1">
        <v>18251.38</v>
      </c>
      <c r="L872" s="1">
        <v>370790</v>
      </c>
      <c r="M872" s="1">
        <v>7340</v>
      </c>
      <c r="N872" s="1">
        <v>581</v>
      </c>
      <c r="O872" s="1">
        <v>18569.98</v>
      </c>
      <c r="P872" s="8">
        <f t="shared" si="65"/>
        <v>1.9795571617357535</v>
      </c>
      <c r="Q872" s="10">
        <f t="shared" si="66"/>
        <v>2.5299700272479564</v>
      </c>
      <c r="R872" s="12">
        <f t="shared" si="67"/>
        <v>31.962099827882959</v>
      </c>
      <c r="S872" s="2">
        <f t="shared" si="68"/>
        <v>0.98284327716023401</v>
      </c>
      <c r="T872" s="18" t="str">
        <f t="shared" si="69"/>
        <v>🟡 Mid</v>
      </c>
    </row>
    <row r="873" spans="1:20" x14ac:dyDescent="0.3">
      <c r="A873" s="17">
        <v>872</v>
      </c>
      <c r="B873" s="3" t="s">
        <v>84</v>
      </c>
      <c r="C873" s="3" t="s">
        <v>40</v>
      </c>
      <c r="D873" s="3" t="s">
        <v>22</v>
      </c>
      <c r="E873" s="3" t="s">
        <v>61</v>
      </c>
      <c r="F873" s="3" t="s">
        <v>31</v>
      </c>
      <c r="G873" s="3" t="s">
        <v>43</v>
      </c>
      <c r="H873" s="3" t="s">
        <v>79</v>
      </c>
      <c r="I873" s="3" t="s">
        <v>45</v>
      </c>
      <c r="J873" s="6">
        <v>2023</v>
      </c>
      <c r="K873" s="3">
        <v>8952.4599999999991</v>
      </c>
      <c r="L873" s="3">
        <v>482131</v>
      </c>
      <c r="M873" s="3">
        <v>6160</v>
      </c>
      <c r="N873" s="3">
        <v>83</v>
      </c>
      <c r="O873" s="3">
        <v>8351.4</v>
      </c>
      <c r="P873" s="9">
        <f t="shared" si="65"/>
        <v>1.2776610506273192</v>
      </c>
      <c r="Q873" s="11">
        <f t="shared" si="66"/>
        <v>1.3557467532467531</v>
      </c>
      <c r="R873" s="13">
        <f t="shared" si="67"/>
        <v>100.61927710843374</v>
      </c>
      <c r="S873" s="4">
        <f t="shared" si="68"/>
        <v>1.0719711665110041</v>
      </c>
      <c r="T873" s="19" t="str">
        <f t="shared" si="69"/>
        <v>🔴 Low</v>
      </c>
    </row>
    <row r="874" spans="1:20" x14ac:dyDescent="0.3">
      <c r="A874" s="16">
        <v>873</v>
      </c>
      <c r="B874" s="1" t="s">
        <v>101</v>
      </c>
      <c r="C874" s="1" t="s">
        <v>40</v>
      </c>
      <c r="D874" s="1" t="s">
        <v>22</v>
      </c>
      <c r="E874" s="1" t="s">
        <v>42</v>
      </c>
      <c r="F874" s="1" t="s">
        <v>47</v>
      </c>
      <c r="G874" s="1" t="s">
        <v>25</v>
      </c>
      <c r="H874" s="1" t="s">
        <v>48</v>
      </c>
      <c r="I874" s="1" t="s">
        <v>34</v>
      </c>
      <c r="J874" s="5">
        <v>2023</v>
      </c>
      <c r="K874" s="1">
        <v>10702.13</v>
      </c>
      <c r="L874" s="1">
        <v>308858</v>
      </c>
      <c r="M874" s="1">
        <v>3316</v>
      </c>
      <c r="N874" s="1">
        <v>31</v>
      </c>
      <c r="O874" s="1">
        <v>7716.98</v>
      </c>
      <c r="P874" s="8">
        <f t="shared" si="65"/>
        <v>1.0736325431104261</v>
      </c>
      <c r="Q874" s="10">
        <f t="shared" si="66"/>
        <v>2.3271954161640531</v>
      </c>
      <c r="R874" s="12">
        <f t="shared" si="67"/>
        <v>248.93483870967739</v>
      </c>
      <c r="S874" s="2">
        <f t="shared" si="68"/>
        <v>1.3868287853538561</v>
      </c>
      <c r="T874" s="18" t="str">
        <f t="shared" si="69"/>
        <v>🔴 Low</v>
      </c>
    </row>
    <row r="875" spans="1:20" x14ac:dyDescent="0.3">
      <c r="A875" s="17">
        <v>874</v>
      </c>
      <c r="B875" s="3" t="s">
        <v>51</v>
      </c>
      <c r="C875" s="3" t="s">
        <v>40</v>
      </c>
      <c r="D875" s="3" t="s">
        <v>41</v>
      </c>
      <c r="E875" s="3" t="s">
        <v>42</v>
      </c>
      <c r="F875" s="3" t="s">
        <v>24</v>
      </c>
      <c r="G875" s="3" t="s">
        <v>43</v>
      </c>
      <c r="H875" s="3" t="s">
        <v>79</v>
      </c>
      <c r="I875" s="3" t="s">
        <v>45</v>
      </c>
      <c r="J875" s="6">
        <v>2023</v>
      </c>
      <c r="K875" s="3">
        <v>1537.27</v>
      </c>
      <c r="L875" s="3">
        <v>325677</v>
      </c>
      <c r="M875" s="3">
        <v>3522</v>
      </c>
      <c r="N875" s="3">
        <v>212</v>
      </c>
      <c r="O875" s="3">
        <v>1149.8</v>
      </c>
      <c r="P875" s="9">
        <f t="shared" si="65"/>
        <v>1.0814395858473274</v>
      </c>
      <c r="Q875" s="11">
        <f t="shared" si="66"/>
        <v>0.32646223736513341</v>
      </c>
      <c r="R875" s="13">
        <f t="shared" si="67"/>
        <v>5.4235849056603769</v>
      </c>
      <c r="S875" s="4">
        <f t="shared" si="68"/>
        <v>1.3369890415724475</v>
      </c>
      <c r="T875" s="19" t="str">
        <f t="shared" si="69"/>
        <v>🔴 Low</v>
      </c>
    </row>
    <row r="876" spans="1:20" x14ac:dyDescent="0.3">
      <c r="A876" s="16">
        <v>875</v>
      </c>
      <c r="B876" s="1" t="s">
        <v>98</v>
      </c>
      <c r="C876" s="1" t="s">
        <v>36</v>
      </c>
      <c r="D876" s="1" t="s">
        <v>13</v>
      </c>
      <c r="E876" s="1" t="s">
        <v>30</v>
      </c>
      <c r="F876" s="1" t="s">
        <v>47</v>
      </c>
      <c r="G876" s="1" t="s">
        <v>43</v>
      </c>
      <c r="H876" s="1" t="s">
        <v>81</v>
      </c>
      <c r="I876" s="1" t="s">
        <v>34</v>
      </c>
      <c r="J876" s="5">
        <v>2023</v>
      </c>
      <c r="K876" s="1">
        <v>19096.86</v>
      </c>
      <c r="L876" s="1">
        <v>752841</v>
      </c>
      <c r="M876" s="1">
        <v>19462</v>
      </c>
      <c r="N876" s="1">
        <v>1241</v>
      </c>
      <c r="O876" s="1">
        <v>16152.02</v>
      </c>
      <c r="P876" s="8">
        <f t="shared" si="65"/>
        <v>2.5851408199075236</v>
      </c>
      <c r="Q876" s="10">
        <f t="shared" si="66"/>
        <v>0.82992600965984997</v>
      </c>
      <c r="R876" s="12">
        <f t="shared" si="67"/>
        <v>13.01532634971797</v>
      </c>
      <c r="S876" s="2">
        <f t="shared" si="68"/>
        <v>1.1823202299155151</v>
      </c>
      <c r="T876" s="18" t="str">
        <f t="shared" si="69"/>
        <v>🟡 Mid</v>
      </c>
    </row>
    <row r="877" spans="1:20" x14ac:dyDescent="0.3">
      <c r="A877" s="17">
        <v>876</v>
      </c>
      <c r="B877" s="3" t="s">
        <v>94</v>
      </c>
      <c r="C877" s="3" t="s">
        <v>36</v>
      </c>
      <c r="D877" s="3" t="s">
        <v>46</v>
      </c>
      <c r="E877" s="3" t="s">
        <v>42</v>
      </c>
      <c r="F877" s="3" t="s">
        <v>47</v>
      </c>
      <c r="G877" s="3" t="s">
        <v>43</v>
      </c>
      <c r="H877" s="3" t="s">
        <v>83</v>
      </c>
      <c r="I877" s="3" t="s">
        <v>38</v>
      </c>
      <c r="J877" s="6">
        <v>2024</v>
      </c>
      <c r="K877" s="3">
        <v>8739.98</v>
      </c>
      <c r="L877" s="3">
        <v>107905</v>
      </c>
      <c r="M877" s="3">
        <v>4795</v>
      </c>
      <c r="N877" s="3">
        <v>448</v>
      </c>
      <c r="O877" s="3">
        <v>8621.83</v>
      </c>
      <c r="P877" s="9">
        <f t="shared" si="65"/>
        <v>4.4437236457995457</v>
      </c>
      <c r="Q877" s="11">
        <f t="shared" si="66"/>
        <v>1.7980875912408758</v>
      </c>
      <c r="R877" s="13">
        <f t="shared" si="67"/>
        <v>19.245156250000001</v>
      </c>
      <c r="S877" s="4">
        <f t="shared" si="68"/>
        <v>1.0137035872894733</v>
      </c>
      <c r="T877" s="19" t="str">
        <f t="shared" si="69"/>
        <v>🟢 High</v>
      </c>
    </row>
    <row r="878" spans="1:20" x14ac:dyDescent="0.3">
      <c r="A878" s="16">
        <v>877</v>
      </c>
      <c r="B878" s="1" t="s">
        <v>73</v>
      </c>
      <c r="C878" s="1" t="s">
        <v>21</v>
      </c>
      <c r="D878" s="1" t="s">
        <v>46</v>
      </c>
      <c r="E878" s="1" t="s">
        <v>61</v>
      </c>
      <c r="F878" s="1" t="s">
        <v>47</v>
      </c>
      <c r="G878" s="1" t="s">
        <v>43</v>
      </c>
      <c r="H878" s="1" t="s">
        <v>79</v>
      </c>
      <c r="I878" s="1" t="s">
        <v>45</v>
      </c>
      <c r="J878" s="5">
        <v>2023</v>
      </c>
      <c r="K878" s="1">
        <v>13824.76</v>
      </c>
      <c r="L878" s="1">
        <v>214197</v>
      </c>
      <c r="M878" s="1">
        <v>1499</v>
      </c>
      <c r="N878" s="1">
        <v>77</v>
      </c>
      <c r="O878" s="1">
        <v>10065.790000000001</v>
      </c>
      <c r="P878" s="8">
        <f t="shared" si="65"/>
        <v>0.69982306008020656</v>
      </c>
      <c r="Q878" s="10">
        <f t="shared" si="66"/>
        <v>6.7150033355570384</v>
      </c>
      <c r="R878" s="12">
        <f t="shared" si="67"/>
        <v>130.72454545454548</v>
      </c>
      <c r="S878" s="2">
        <f t="shared" si="68"/>
        <v>1.3734401373364633</v>
      </c>
      <c r="T878" s="18" t="str">
        <f t="shared" si="69"/>
        <v>🔴 Low</v>
      </c>
    </row>
    <row r="879" spans="1:20" x14ac:dyDescent="0.3">
      <c r="A879" s="17">
        <v>878</v>
      </c>
      <c r="B879" s="3" t="s">
        <v>67</v>
      </c>
      <c r="C879" s="3" t="s">
        <v>40</v>
      </c>
      <c r="D879" s="3" t="s">
        <v>29</v>
      </c>
      <c r="E879" s="3" t="s">
        <v>30</v>
      </c>
      <c r="F879" s="3" t="s">
        <v>47</v>
      </c>
      <c r="G879" s="3" t="s">
        <v>50</v>
      </c>
      <c r="H879" s="3" t="s">
        <v>58</v>
      </c>
      <c r="I879" s="3" t="s">
        <v>27</v>
      </c>
      <c r="J879" s="6">
        <v>2023</v>
      </c>
      <c r="K879" s="3">
        <v>10768.14</v>
      </c>
      <c r="L879" s="3">
        <v>732851</v>
      </c>
      <c r="M879" s="3">
        <v>15527</v>
      </c>
      <c r="N879" s="3">
        <v>301</v>
      </c>
      <c r="O879" s="3">
        <v>10688.99</v>
      </c>
      <c r="P879" s="9">
        <f t="shared" si="65"/>
        <v>2.118711716297037</v>
      </c>
      <c r="Q879" s="11">
        <f t="shared" si="66"/>
        <v>0.68841308688091707</v>
      </c>
      <c r="R879" s="13">
        <f t="shared" si="67"/>
        <v>35.511594684385379</v>
      </c>
      <c r="S879" s="4">
        <f t="shared" si="68"/>
        <v>1.0074048156093325</v>
      </c>
      <c r="T879" s="19" t="str">
        <f t="shared" si="69"/>
        <v>🟡 Mid</v>
      </c>
    </row>
    <row r="880" spans="1:20" x14ac:dyDescent="0.3">
      <c r="A880" s="16">
        <v>879</v>
      </c>
      <c r="B880" s="1" t="s">
        <v>78</v>
      </c>
      <c r="C880" s="1" t="s">
        <v>21</v>
      </c>
      <c r="D880" s="1" t="s">
        <v>41</v>
      </c>
      <c r="E880" s="1" t="s">
        <v>23</v>
      </c>
      <c r="F880" s="1" t="s">
        <v>47</v>
      </c>
      <c r="G880" s="1" t="s">
        <v>50</v>
      </c>
      <c r="H880" s="1" t="s">
        <v>33</v>
      </c>
      <c r="I880" s="1" t="s">
        <v>34</v>
      </c>
      <c r="J880" s="5">
        <v>2024</v>
      </c>
      <c r="K880" s="1">
        <v>9495.0400000000009</v>
      </c>
      <c r="L880" s="1">
        <v>591058</v>
      </c>
      <c r="M880" s="1">
        <v>9110</v>
      </c>
      <c r="N880" s="1">
        <v>611</v>
      </c>
      <c r="O880" s="1">
        <v>6257.67</v>
      </c>
      <c r="P880" s="8">
        <f t="shared" si="65"/>
        <v>1.5413038991097321</v>
      </c>
      <c r="Q880" s="10">
        <f t="shared" si="66"/>
        <v>0.68690120746432493</v>
      </c>
      <c r="R880" s="12">
        <f t="shared" si="67"/>
        <v>10.241685761047464</v>
      </c>
      <c r="S880" s="2">
        <f t="shared" si="68"/>
        <v>1.5173443150565626</v>
      </c>
      <c r="T880" s="18" t="str">
        <f t="shared" si="69"/>
        <v>🟡 Mid</v>
      </c>
    </row>
    <row r="881" spans="1:20" x14ac:dyDescent="0.3">
      <c r="A881" s="17">
        <v>880</v>
      </c>
      <c r="B881" s="3" t="s">
        <v>87</v>
      </c>
      <c r="C881" s="3" t="s">
        <v>40</v>
      </c>
      <c r="D881" s="3" t="s">
        <v>29</v>
      </c>
      <c r="E881" s="3" t="s">
        <v>61</v>
      </c>
      <c r="F881" s="3" t="s">
        <v>47</v>
      </c>
      <c r="G881" s="3" t="s">
        <v>25</v>
      </c>
      <c r="H881" s="3" t="s">
        <v>79</v>
      </c>
      <c r="I881" s="3" t="s">
        <v>45</v>
      </c>
      <c r="J881" s="6">
        <v>2024</v>
      </c>
      <c r="K881" s="3">
        <v>1543.95</v>
      </c>
      <c r="L881" s="3">
        <v>416733</v>
      </c>
      <c r="M881" s="3">
        <v>7255</v>
      </c>
      <c r="N881" s="3">
        <v>99</v>
      </c>
      <c r="O881" s="3">
        <v>1360.89</v>
      </c>
      <c r="P881" s="9">
        <f t="shared" si="65"/>
        <v>1.7409228450830629</v>
      </c>
      <c r="Q881" s="11">
        <f t="shared" si="66"/>
        <v>0.18757960027567197</v>
      </c>
      <c r="R881" s="13">
        <f t="shared" si="67"/>
        <v>13.746363636363638</v>
      </c>
      <c r="S881" s="4">
        <f t="shared" si="68"/>
        <v>1.1345149130348522</v>
      </c>
      <c r="T881" s="19" t="str">
        <f t="shared" si="69"/>
        <v>🟡 Mid</v>
      </c>
    </row>
    <row r="882" spans="1:20" x14ac:dyDescent="0.3">
      <c r="A882" s="16">
        <v>881</v>
      </c>
      <c r="B882" s="1" t="s">
        <v>67</v>
      </c>
      <c r="C882" s="1" t="s">
        <v>40</v>
      </c>
      <c r="D882" s="1" t="s">
        <v>22</v>
      </c>
      <c r="E882" s="1" t="s">
        <v>42</v>
      </c>
      <c r="F882" s="1" t="s">
        <v>24</v>
      </c>
      <c r="G882" s="1" t="s">
        <v>43</v>
      </c>
      <c r="H882" s="1" t="s">
        <v>44</v>
      </c>
      <c r="I882" s="1" t="s">
        <v>45</v>
      </c>
      <c r="J882" s="5">
        <v>2023</v>
      </c>
      <c r="K882" s="1">
        <v>7002.93</v>
      </c>
      <c r="L882" s="1">
        <v>107130</v>
      </c>
      <c r="M882" s="1">
        <v>2016</v>
      </c>
      <c r="N882" s="1">
        <v>30</v>
      </c>
      <c r="O882" s="1">
        <v>6743.91</v>
      </c>
      <c r="P882" s="8">
        <f t="shared" si="65"/>
        <v>1.8818258190982917</v>
      </c>
      <c r="Q882" s="10">
        <f t="shared" si="66"/>
        <v>3.3451934523809523</v>
      </c>
      <c r="R882" s="12">
        <f t="shared" si="67"/>
        <v>224.797</v>
      </c>
      <c r="S882" s="2">
        <f t="shared" si="68"/>
        <v>1.0384079858716977</v>
      </c>
      <c r="T882" s="18" t="str">
        <f t="shared" si="69"/>
        <v>🟡 Mid</v>
      </c>
    </row>
    <row r="883" spans="1:20" x14ac:dyDescent="0.3">
      <c r="A883" s="17">
        <v>882</v>
      </c>
      <c r="B883" s="3" t="s">
        <v>91</v>
      </c>
      <c r="C883" s="3" t="s">
        <v>36</v>
      </c>
      <c r="D883" s="3" t="s">
        <v>46</v>
      </c>
      <c r="E883" s="3" t="s">
        <v>61</v>
      </c>
      <c r="F883" s="3" t="s">
        <v>24</v>
      </c>
      <c r="G883" s="3" t="s">
        <v>32</v>
      </c>
      <c r="H883" s="3" t="s">
        <v>54</v>
      </c>
      <c r="I883" s="3" t="s">
        <v>45</v>
      </c>
      <c r="J883" s="6">
        <v>2024</v>
      </c>
      <c r="K883" s="3">
        <v>3159.85</v>
      </c>
      <c r="L883" s="3">
        <v>713502</v>
      </c>
      <c r="M883" s="3">
        <v>15834</v>
      </c>
      <c r="N883" s="3">
        <v>1241</v>
      </c>
      <c r="O883" s="3">
        <v>2101.3200000000002</v>
      </c>
      <c r="P883" s="9">
        <f t="shared" si="65"/>
        <v>2.2191949006449878</v>
      </c>
      <c r="Q883" s="11">
        <f t="shared" si="66"/>
        <v>0.13270935960591135</v>
      </c>
      <c r="R883" s="13">
        <f t="shared" si="67"/>
        <v>1.6932473811442386</v>
      </c>
      <c r="S883" s="4">
        <f t="shared" si="68"/>
        <v>1.5037452648811223</v>
      </c>
      <c r="T883" s="19" t="str">
        <f t="shared" si="69"/>
        <v>🟡 Mid</v>
      </c>
    </row>
    <row r="884" spans="1:20" x14ac:dyDescent="0.3">
      <c r="A884" s="16">
        <v>883</v>
      </c>
      <c r="B884" s="1" t="s">
        <v>73</v>
      </c>
      <c r="C884" s="1" t="s">
        <v>21</v>
      </c>
      <c r="D884" s="1" t="s">
        <v>22</v>
      </c>
      <c r="E884" s="1" t="s">
        <v>56</v>
      </c>
      <c r="F884" s="1" t="s">
        <v>31</v>
      </c>
      <c r="G884" s="1" t="s">
        <v>25</v>
      </c>
      <c r="H884" s="1" t="s">
        <v>58</v>
      </c>
      <c r="I884" s="1" t="s">
        <v>27</v>
      </c>
      <c r="J884" s="5">
        <v>2023</v>
      </c>
      <c r="K884" s="1">
        <v>500.7</v>
      </c>
      <c r="L884" s="1">
        <v>638120</v>
      </c>
      <c r="M884" s="1">
        <v>7282</v>
      </c>
      <c r="N884" s="1">
        <v>63</v>
      </c>
      <c r="O884" s="1">
        <v>322.20999999999998</v>
      </c>
      <c r="P884" s="8">
        <f t="shared" si="65"/>
        <v>1.1411646712217138</v>
      </c>
      <c r="Q884" s="10">
        <f t="shared" si="66"/>
        <v>4.4247459489151326E-2</v>
      </c>
      <c r="R884" s="12">
        <f t="shared" si="67"/>
        <v>5.1144444444444437</v>
      </c>
      <c r="S884" s="2">
        <f t="shared" si="68"/>
        <v>1.5539554948635983</v>
      </c>
      <c r="T884" s="18" t="str">
        <f t="shared" si="69"/>
        <v>🔴 Low</v>
      </c>
    </row>
    <row r="885" spans="1:20" x14ac:dyDescent="0.3">
      <c r="A885" s="17">
        <v>884</v>
      </c>
      <c r="B885" s="3" t="s">
        <v>86</v>
      </c>
      <c r="C885" s="3" t="s">
        <v>36</v>
      </c>
      <c r="D885" s="3" t="s">
        <v>41</v>
      </c>
      <c r="E885" s="3" t="s">
        <v>42</v>
      </c>
      <c r="F885" s="3" t="s">
        <v>24</v>
      </c>
      <c r="G885" s="3" t="s">
        <v>43</v>
      </c>
      <c r="H885" s="3" t="s">
        <v>33</v>
      </c>
      <c r="I885" s="3" t="s">
        <v>34</v>
      </c>
      <c r="J885" s="6">
        <v>2024</v>
      </c>
      <c r="K885" s="3">
        <v>19662.580000000002</v>
      </c>
      <c r="L885" s="3">
        <v>251339</v>
      </c>
      <c r="M885" s="3">
        <v>5994</v>
      </c>
      <c r="N885" s="3">
        <v>763</v>
      </c>
      <c r="O885" s="3">
        <v>16312.51</v>
      </c>
      <c r="P885" s="9">
        <f t="shared" si="65"/>
        <v>2.3848268672987483</v>
      </c>
      <c r="Q885" s="11">
        <f t="shared" si="66"/>
        <v>2.7214731398064731</v>
      </c>
      <c r="R885" s="13">
        <f t="shared" si="67"/>
        <v>21.379436435124507</v>
      </c>
      <c r="S885" s="4">
        <f t="shared" si="68"/>
        <v>1.2053681499658853</v>
      </c>
      <c r="T885" s="19" t="str">
        <f t="shared" si="69"/>
        <v>🟡 Mid</v>
      </c>
    </row>
    <row r="886" spans="1:20" x14ac:dyDescent="0.3">
      <c r="A886" s="16">
        <v>885</v>
      </c>
      <c r="B886" s="1" t="s">
        <v>74</v>
      </c>
      <c r="C886" s="1" t="s">
        <v>21</v>
      </c>
      <c r="D886" s="1" t="s">
        <v>29</v>
      </c>
      <c r="E886" s="1" t="s">
        <v>42</v>
      </c>
      <c r="F886" s="1" t="s">
        <v>47</v>
      </c>
      <c r="G886" s="1" t="s">
        <v>25</v>
      </c>
      <c r="H886" s="1" t="s">
        <v>44</v>
      </c>
      <c r="I886" s="1" t="s">
        <v>45</v>
      </c>
      <c r="J886" s="5">
        <v>2023</v>
      </c>
      <c r="K886" s="1">
        <v>4103.75</v>
      </c>
      <c r="L886" s="1">
        <v>785768</v>
      </c>
      <c r="M886" s="1">
        <v>4179</v>
      </c>
      <c r="N886" s="1">
        <v>134</v>
      </c>
      <c r="O886" s="1">
        <v>3404.5</v>
      </c>
      <c r="P886" s="8">
        <f t="shared" si="65"/>
        <v>0.53183636900459164</v>
      </c>
      <c r="Q886" s="10">
        <f t="shared" si="66"/>
        <v>0.81466858100023931</v>
      </c>
      <c r="R886" s="12">
        <f t="shared" si="67"/>
        <v>25.406716417910449</v>
      </c>
      <c r="S886" s="2">
        <f t="shared" si="68"/>
        <v>1.2053899250991336</v>
      </c>
      <c r="T886" s="18" t="str">
        <f t="shared" si="69"/>
        <v>🔴 Low</v>
      </c>
    </row>
    <row r="887" spans="1:20" x14ac:dyDescent="0.3">
      <c r="A887" s="17">
        <v>886</v>
      </c>
      <c r="B887" s="3" t="s">
        <v>66</v>
      </c>
      <c r="C887" s="3" t="s">
        <v>40</v>
      </c>
      <c r="D887" s="3" t="s">
        <v>13</v>
      </c>
      <c r="E887" s="3" t="s">
        <v>23</v>
      </c>
      <c r="F887" s="3" t="s">
        <v>31</v>
      </c>
      <c r="G887" s="3" t="s">
        <v>57</v>
      </c>
      <c r="H887" s="3" t="s">
        <v>79</v>
      </c>
      <c r="I887" s="3" t="s">
        <v>45</v>
      </c>
      <c r="J887" s="6">
        <v>2024</v>
      </c>
      <c r="K887" s="3">
        <v>7663.12</v>
      </c>
      <c r="L887" s="3">
        <v>293548</v>
      </c>
      <c r="M887" s="3">
        <v>3946</v>
      </c>
      <c r="N887" s="3">
        <v>305</v>
      </c>
      <c r="O887" s="3">
        <v>6843.27</v>
      </c>
      <c r="P887" s="9">
        <f t="shared" si="65"/>
        <v>1.3442435308705902</v>
      </c>
      <c r="Q887" s="11">
        <f t="shared" si="66"/>
        <v>1.7342295995945263</v>
      </c>
      <c r="R887" s="13">
        <f t="shared" si="67"/>
        <v>22.436950819672134</v>
      </c>
      <c r="S887" s="4">
        <f t="shared" si="68"/>
        <v>1.1198038364699916</v>
      </c>
      <c r="T887" s="19" t="str">
        <f t="shared" si="69"/>
        <v>🔴 Low</v>
      </c>
    </row>
    <row r="888" spans="1:20" x14ac:dyDescent="0.3">
      <c r="A888" s="16">
        <v>887</v>
      </c>
      <c r="B888" s="1" t="s">
        <v>86</v>
      </c>
      <c r="C888" s="1" t="s">
        <v>36</v>
      </c>
      <c r="D888" s="1" t="s">
        <v>41</v>
      </c>
      <c r="E888" s="1" t="s">
        <v>56</v>
      </c>
      <c r="F888" s="1" t="s">
        <v>24</v>
      </c>
      <c r="G888" s="1" t="s">
        <v>57</v>
      </c>
      <c r="H888" s="1" t="s">
        <v>52</v>
      </c>
      <c r="I888" s="1" t="s">
        <v>38</v>
      </c>
      <c r="J888" s="5">
        <v>2024</v>
      </c>
      <c r="K888" s="1">
        <v>2842.47</v>
      </c>
      <c r="L888" s="1">
        <v>413346</v>
      </c>
      <c r="M888" s="1">
        <v>13324</v>
      </c>
      <c r="N888" s="1">
        <v>1487</v>
      </c>
      <c r="O888" s="1">
        <v>2771.84</v>
      </c>
      <c r="P888" s="8">
        <f t="shared" si="65"/>
        <v>3.2234496039637497</v>
      </c>
      <c r="Q888" s="10">
        <f t="shared" si="66"/>
        <v>0.20803362353647553</v>
      </c>
      <c r="R888" s="12">
        <f t="shared" si="67"/>
        <v>1.8640484196368527</v>
      </c>
      <c r="S888" s="2">
        <f t="shared" si="68"/>
        <v>1.0254812687601014</v>
      </c>
      <c r="T888" s="18" t="str">
        <f t="shared" si="69"/>
        <v>🟢 High</v>
      </c>
    </row>
    <row r="889" spans="1:20" x14ac:dyDescent="0.3">
      <c r="A889" s="17">
        <v>888</v>
      </c>
      <c r="B889" s="3" t="s">
        <v>53</v>
      </c>
      <c r="C889" s="3" t="s">
        <v>21</v>
      </c>
      <c r="D889" s="3" t="s">
        <v>22</v>
      </c>
      <c r="E889" s="3" t="s">
        <v>23</v>
      </c>
      <c r="F889" s="3" t="s">
        <v>24</v>
      </c>
      <c r="G889" s="3" t="s">
        <v>50</v>
      </c>
      <c r="H889" s="3" t="s">
        <v>54</v>
      </c>
      <c r="I889" s="3" t="s">
        <v>45</v>
      </c>
      <c r="J889" s="6">
        <v>2024</v>
      </c>
      <c r="K889" s="3">
        <v>5899.63</v>
      </c>
      <c r="L889" s="3">
        <v>171004</v>
      </c>
      <c r="M889" s="3">
        <v>1247</v>
      </c>
      <c r="N889" s="3">
        <v>12</v>
      </c>
      <c r="O889" s="3">
        <v>5660.42</v>
      </c>
      <c r="P889" s="9">
        <f t="shared" si="65"/>
        <v>0.72922270824074287</v>
      </c>
      <c r="Q889" s="11">
        <f t="shared" si="66"/>
        <v>4.5392301523656773</v>
      </c>
      <c r="R889" s="13">
        <f t="shared" si="67"/>
        <v>471.70166666666665</v>
      </c>
      <c r="S889" s="4">
        <f t="shared" si="68"/>
        <v>1.0422601149738004</v>
      </c>
      <c r="T889" s="19" t="str">
        <f t="shared" si="69"/>
        <v>🔴 Low</v>
      </c>
    </row>
    <row r="890" spans="1:20" x14ac:dyDescent="0.3">
      <c r="A890" s="16">
        <v>889</v>
      </c>
      <c r="B890" s="1" t="s">
        <v>64</v>
      </c>
      <c r="C890" s="1" t="s">
        <v>21</v>
      </c>
      <c r="D890" s="1" t="s">
        <v>13</v>
      </c>
      <c r="E890" s="1" t="s">
        <v>61</v>
      </c>
      <c r="F890" s="1" t="s">
        <v>47</v>
      </c>
      <c r="G890" s="1" t="s">
        <v>32</v>
      </c>
      <c r="H890" s="1" t="s">
        <v>58</v>
      </c>
      <c r="I890" s="1" t="s">
        <v>27</v>
      </c>
      <c r="J890" s="5">
        <v>2023</v>
      </c>
      <c r="K890" s="1">
        <v>13290.43</v>
      </c>
      <c r="L890" s="1">
        <v>373959</v>
      </c>
      <c r="M890" s="1">
        <v>1276</v>
      </c>
      <c r="N890" s="1">
        <v>104</v>
      </c>
      <c r="O890" s="1">
        <v>12767.3</v>
      </c>
      <c r="P890" s="8">
        <f t="shared" si="65"/>
        <v>0.34121387638751843</v>
      </c>
      <c r="Q890" s="10">
        <f t="shared" si="66"/>
        <v>10.005721003134795</v>
      </c>
      <c r="R890" s="12">
        <f t="shared" si="67"/>
        <v>122.76249999999999</v>
      </c>
      <c r="S890" s="2">
        <f t="shared" si="68"/>
        <v>1.0409742075458399</v>
      </c>
      <c r="T890" s="18" t="str">
        <f t="shared" si="69"/>
        <v>🔴 Low</v>
      </c>
    </row>
    <row r="891" spans="1:20" x14ac:dyDescent="0.3">
      <c r="A891" s="17">
        <v>890</v>
      </c>
      <c r="B891" s="3" t="s">
        <v>94</v>
      </c>
      <c r="C891" s="3" t="s">
        <v>36</v>
      </c>
      <c r="D891" s="3" t="s">
        <v>13</v>
      </c>
      <c r="E891" s="3" t="s">
        <v>56</v>
      </c>
      <c r="F891" s="3" t="s">
        <v>24</v>
      </c>
      <c r="G891" s="3" t="s">
        <v>50</v>
      </c>
      <c r="H891" s="3" t="s">
        <v>33</v>
      </c>
      <c r="I891" s="3" t="s">
        <v>34</v>
      </c>
      <c r="J891" s="6">
        <v>2024</v>
      </c>
      <c r="K891" s="3">
        <v>12313.92</v>
      </c>
      <c r="L891" s="3">
        <v>194136</v>
      </c>
      <c r="M891" s="3">
        <v>4398</v>
      </c>
      <c r="N891" s="3">
        <v>397</v>
      </c>
      <c r="O891" s="3">
        <v>12184.79</v>
      </c>
      <c r="P891" s="9">
        <f t="shared" si="65"/>
        <v>2.2654221782667823</v>
      </c>
      <c r="Q891" s="11">
        <f t="shared" si="66"/>
        <v>2.7705297862664851</v>
      </c>
      <c r="R891" s="13">
        <f t="shared" si="67"/>
        <v>30.692166246851386</v>
      </c>
      <c r="S891" s="4">
        <f t="shared" si="68"/>
        <v>1.0105976385313165</v>
      </c>
      <c r="T891" s="19" t="str">
        <f t="shared" si="69"/>
        <v>🟡 Mid</v>
      </c>
    </row>
    <row r="892" spans="1:20" x14ac:dyDescent="0.3">
      <c r="A892" s="16">
        <v>891</v>
      </c>
      <c r="B892" s="1" t="s">
        <v>59</v>
      </c>
      <c r="C892" s="1" t="s">
        <v>21</v>
      </c>
      <c r="D892" s="1" t="s">
        <v>46</v>
      </c>
      <c r="E892" s="1" t="s">
        <v>23</v>
      </c>
      <c r="F892" s="1" t="s">
        <v>31</v>
      </c>
      <c r="G892" s="1" t="s">
        <v>32</v>
      </c>
      <c r="H892" s="1" t="s">
        <v>37</v>
      </c>
      <c r="I892" s="1" t="s">
        <v>38</v>
      </c>
      <c r="J892" s="5">
        <v>2024</v>
      </c>
      <c r="K892" s="1">
        <v>1817.61</v>
      </c>
      <c r="L892" s="1">
        <v>35955</v>
      </c>
      <c r="M892" s="1">
        <v>314</v>
      </c>
      <c r="N892" s="1">
        <v>14</v>
      </c>
      <c r="O892" s="1">
        <v>1171.6500000000001</v>
      </c>
      <c r="P892" s="8">
        <f t="shared" si="65"/>
        <v>0.87331386455291338</v>
      </c>
      <c r="Q892" s="10">
        <f t="shared" si="66"/>
        <v>3.7313694267515927</v>
      </c>
      <c r="R892" s="12">
        <f t="shared" si="67"/>
        <v>83.689285714285717</v>
      </c>
      <c r="S892" s="2">
        <f t="shared" si="68"/>
        <v>1.5513250544104467</v>
      </c>
      <c r="T892" s="18" t="str">
        <f t="shared" si="69"/>
        <v>🔴 Low</v>
      </c>
    </row>
    <row r="893" spans="1:20" x14ac:dyDescent="0.3">
      <c r="A893" s="17">
        <v>892</v>
      </c>
      <c r="B893" s="3" t="s">
        <v>74</v>
      </c>
      <c r="C893" s="3" t="s">
        <v>21</v>
      </c>
      <c r="D893" s="3" t="s">
        <v>13</v>
      </c>
      <c r="E893" s="3" t="s">
        <v>30</v>
      </c>
      <c r="F893" s="3" t="s">
        <v>31</v>
      </c>
      <c r="G893" s="3" t="s">
        <v>25</v>
      </c>
      <c r="H893" s="3" t="s">
        <v>58</v>
      </c>
      <c r="I893" s="3" t="s">
        <v>27</v>
      </c>
      <c r="J893" s="6">
        <v>2023</v>
      </c>
      <c r="K893" s="3">
        <v>14699.18</v>
      </c>
      <c r="L893" s="3">
        <v>407740</v>
      </c>
      <c r="M893" s="3">
        <v>1892</v>
      </c>
      <c r="N893" s="3">
        <v>194</v>
      </c>
      <c r="O893" s="3">
        <v>11412.79</v>
      </c>
      <c r="P893" s="9">
        <f t="shared" si="65"/>
        <v>0.4640211899740031</v>
      </c>
      <c r="Q893" s="11">
        <f t="shared" si="66"/>
        <v>6.0321300211416498</v>
      </c>
      <c r="R893" s="13">
        <f t="shared" si="67"/>
        <v>58.828814432989695</v>
      </c>
      <c r="S893" s="4">
        <f t="shared" si="68"/>
        <v>1.2879567572872188</v>
      </c>
      <c r="T893" s="19" t="str">
        <f t="shared" si="69"/>
        <v>🔴 Low</v>
      </c>
    </row>
    <row r="894" spans="1:20" x14ac:dyDescent="0.3">
      <c r="A894" s="16">
        <v>893</v>
      </c>
      <c r="B894" s="1" t="s">
        <v>98</v>
      </c>
      <c r="C894" s="1" t="s">
        <v>36</v>
      </c>
      <c r="D894" s="1" t="s">
        <v>29</v>
      </c>
      <c r="E894" s="1" t="s">
        <v>23</v>
      </c>
      <c r="F894" s="1" t="s">
        <v>24</v>
      </c>
      <c r="G894" s="1" t="s">
        <v>57</v>
      </c>
      <c r="H894" s="1" t="s">
        <v>54</v>
      </c>
      <c r="I894" s="1" t="s">
        <v>45</v>
      </c>
      <c r="J894" s="5">
        <v>2023</v>
      </c>
      <c r="K894" s="1">
        <v>9109.7999999999993</v>
      </c>
      <c r="L894" s="1">
        <v>397505</v>
      </c>
      <c r="M894" s="1">
        <v>8142</v>
      </c>
      <c r="N894" s="1">
        <v>307</v>
      </c>
      <c r="O894" s="1">
        <v>6694.67</v>
      </c>
      <c r="P894" s="8">
        <f t="shared" si="65"/>
        <v>2.0482761223129269</v>
      </c>
      <c r="Q894" s="10">
        <f t="shared" si="66"/>
        <v>0.8222390076148367</v>
      </c>
      <c r="R894" s="12">
        <f t="shared" si="67"/>
        <v>21.806742671009772</v>
      </c>
      <c r="S894" s="2">
        <f t="shared" si="68"/>
        <v>1.3607541521837521</v>
      </c>
      <c r="T894" s="18" t="str">
        <f t="shared" si="69"/>
        <v>🟡 Mid</v>
      </c>
    </row>
    <row r="895" spans="1:20" x14ac:dyDescent="0.3">
      <c r="A895" s="17">
        <v>894</v>
      </c>
      <c r="B895" s="3" t="s">
        <v>74</v>
      </c>
      <c r="C895" s="3" t="s">
        <v>21</v>
      </c>
      <c r="D895" s="3" t="s">
        <v>41</v>
      </c>
      <c r="E895" s="3" t="s">
        <v>30</v>
      </c>
      <c r="F895" s="3" t="s">
        <v>31</v>
      </c>
      <c r="G895" s="3" t="s">
        <v>32</v>
      </c>
      <c r="H895" s="3" t="s">
        <v>81</v>
      </c>
      <c r="I895" s="3" t="s">
        <v>34</v>
      </c>
      <c r="J895" s="6">
        <v>2023</v>
      </c>
      <c r="K895" s="3">
        <v>4316.5</v>
      </c>
      <c r="L895" s="3">
        <v>519958</v>
      </c>
      <c r="M895" s="3">
        <v>547</v>
      </c>
      <c r="N895" s="3">
        <v>51</v>
      </c>
      <c r="O895" s="3">
        <v>3108.56</v>
      </c>
      <c r="P895" s="9">
        <f t="shared" si="65"/>
        <v>0.10520080468037804</v>
      </c>
      <c r="Q895" s="11">
        <f t="shared" si="66"/>
        <v>5.6829250457038389</v>
      </c>
      <c r="R895" s="13">
        <f t="shared" si="67"/>
        <v>60.952156862745099</v>
      </c>
      <c r="S895" s="4">
        <f t="shared" si="68"/>
        <v>1.3885850683274572</v>
      </c>
      <c r="T895" s="19" t="str">
        <f t="shared" si="69"/>
        <v>🔴 Low</v>
      </c>
    </row>
    <row r="896" spans="1:20" x14ac:dyDescent="0.3">
      <c r="A896" s="16">
        <v>895</v>
      </c>
      <c r="B896" s="1" t="s">
        <v>55</v>
      </c>
      <c r="C896" s="1" t="s">
        <v>36</v>
      </c>
      <c r="D896" s="1" t="s">
        <v>41</v>
      </c>
      <c r="E896" s="1" t="s">
        <v>61</v>
      </c>
      <c r="F896" s="1" t="s">
        <v>24</v>
      </c>
      <c r="G896" s="1" t="s">
        <v>57</v>
      </c>
      <c r="H896" s="1" t="s">
        <v>79</v>
      </c>
      <c r="I896" s="1" t="s">
        <v>45</v>
      </c>
      <c r="J896" s="5">
        <v>2023</v>
      </c>
      <c r="K896" s="1">
        <v>12767.76</v>
      </c>
      <c r="L896" s="1">
        <v>706138</v>
      </c>
      <c r="M896" s="1">
        <v>20527</v>
      </c>
      <c r="N896" s="1">
        <v>1462</v>
      </c>
      <c r="O896" s="1">
        <v>7688.74</v>
      </c>
      <c r="P896" s="8">
        <f t="shared" si="65"/>
        <v>2.9069388703058046</v>
      </c>
      <c r="Q896" s="10">
        <f t="shared" si="66"/>
        <v>0.37456715545379254</v>
      </c>
      <c r="R896" s="12">
        <f t="shared" si="67"/>
        <v>5.2590560875512997</v>
      </c>
      <c r="S896" s="2">
        <f t="shared" si="68"/>
        <v>1.6605789765293144</v>
      </c>
      <c r="T896" s="18" t="str">
        <f t="shared" si="69"/>
        <v>🟡 Mid</v>
      </c>
    </row>
    <row r="897" spans="1:20" x14ac:dyDescent="0.3">
      <c r="A897" s="17">
        <v>896</v>
      </c>
      <c r="B897" s="3" t="s">
        <v>85</v>
      </c>
      <c r="C897" s="3" t="s">
        <v>40</v>
      </c>
      <c r="D897" s="3" t="s">
        <v>13</v>
      </c>
      <c r="E897" s="3" t="s">
        <v>30</v>
      </c>
      <c r="F897" s="3" t="s">
        <v>31</v>
      </c>
      <c r="G897" s="3" t="s">
        <v>32</v>
      </c>
      <c r="H897" s="3" t="s">
        <v>48</v>
      </c>
      <c r="I897" s="3" t="s">
        <v>34</v>
      </c>
      <c r="J897" s="6">
        <v>2023</v>
      </c>
      <c r="K897" s="3">
        <v>16731.86</v>
      </c>
      <c r="L897" s="3">
        <v>603076</v>
      </c>
      <c r="M897" s="3">
        <v>10094</v>
      </c>
      <c r="N897" s="3">
        <v>1089</v>
      </c>
      <c r="O897" s="3">
        <v>13558.78</v>
      </c>
      <c r="P897" s="9">
        <f t="shared" si="65"/>
        <v>1.6737525618661659</v>
      </c>
      <c r="Q897" s="11">
        <f t="shared" si="66"/>
        <v>1.343251436496929</v>
      </c>
      <c r="R897" s="13">
        <f t="shared" si="67"/>
        <v>12.450670339761249</v>
      </c>
      <c r="S897" s="4">
        <f t="shared" si="68"/>
        <v>1.2340240051096043</v>
      </c>
      <c r="T897" s="19" t="str">
        <f t="shared" si="69"/>
        <v>🟡 Mid</v>
      </c>
    </row>
    <row r="898" spans="1:20" x14ac:dyDescent="0.3">
      <c r="A898" s="16">
        <v>897</v>
      </c>
      <c r="B898" s="1" t="s">
        <v>102</v>
      </c>
      <c r="C898" s="1" t="s">
        <v>40</v>
      </c>
      <c r="D898" s="1" t="s">
        <v>22</v>
      </c>
      <c r="E898" s="1" t="s">
        <v>56</v>
      </c>
      <c r="F898" s="1" t="s">
        <v>47</v>
      </c>
      <c r="G898" s="1" t="s">
        <v>50</v>
      </c>
      <c r="H898" s="1" t="s">
        <v>58</v>
      </c>
      <c r="I898" s="1" t="s">
        <v>27</v>
      </c>
      <c r="J898" s="5">
        <v>2023</v>
      </c>
      <c r="K898" s="1">
        <v>2980.25</v>
      </c>
      <c r="L898" s="1">
        <v>547372</v>
      </c>
      <c r="M898" s="1">
        <v>8348</v>
      </c>
      <c r="N898" s="1">
        <v>70</v>
      </c>
      <c r="O898" s="1">
        <v>2541.04</v>
      </c>
      <c r="P898" s="8">
        <f t="shared" ref="P898:P961" si="70">IFERROR(M898/L898*100,0)</f>
        <v>1.5251054127723012</v>
      </c>
      <c r="Q898" s="10">
        <f t="shared" ref="Q898:Q961" si="71">IFERROR(O898/M898,0)</f>
        <v>0.30438907522759945</v>
      </c>
      <c r="R898" s="12">
        <f t="shared" ref="R898:R961" si="72">IFERROR(O898/N898,"-")</f>
        <v>36.30057142857143</v>
      </c>
      <c r="S898" s="2">
        <f t="shared" ref="S898:S961" si="73">IFERROR(K898/O898,0)</f>
        <v>1.1728465510184807</v>
      </c>
      <c r="T898" s="18" t="str">
        <f t="shared" ref="T898:T961" si="74">IF(P898&gt;=3,"🟢 High",IF(P898&gt;=1.5,"🟡 Mid","🔴 Low"))</f>
        <v>🟡 Mid</v>
      </c>
    </row>
    <row r="899" spans="1:20" x14ac:dyDescent="0.3">
      <c r="A899" s="17">
        <v>898</v>
      </c>
      <c r="B899" s="3" t="s">
        <v>60</v>
      </c>
      <c r="C899" s="3" t="s">
        <v>40</v>
      </c>
      <c r="D899" s="3" t="s">
        <v>46</v>
      </c>
      <c r="E899" s="3" t="s">
        <v>23</v>
      </c>
      <c r="F899" s="3" t="s">
        <v>47</v>
      </c>
      <c r="G899" s="3" t="s">
        <v>50</v>
      </c>
      <c r="H899" s="3" t="s">
        <v>54</v>
      </c>
      <c r="I899" s="3" t="s">
        <v>45</v>
      </c>
      <c r="J899" s="6">
        <v>2024</v>
      </c>
      <c r="K899" s="3">
        <v>1825.08</v>
      </c>
      <c r="L899" s="3">
        <v>170531</v>
      </c>
      <c r="M899" s="3">
        <v>3136</v>
      </c>
      <c r="N899" s="3">
        <v>307</v>
      </c>
      <c r="O899" s="3">
        <v>1152.3699999999999</v>
      </c>
      <c r="P899" s="9">
        <f t="shared" si="70"/>
        <v>1.8389618309867413</v>
      </c>
      <c r="Q899" s="11">
        <f t="shared" si="71"/>
        <v>0.36746492346938769</v>
      </c>
      <c r="R899" s="13">
        <f t="shared" si="72"/>
        <v>3.753648208469055</v>
      </c>
      <c r="S899" s="4">
        <f t="shared" si="73"/>
        <v>1.5837621597230058</v>
      </c>
      <c r="T899" s="19" t="str">
        <f t="shared" si="74"/>
        <v>🟡 Mid</v>
      </c>
    </row>
    <row r="900" spans="1:20" x14ac:dyDescent="0.3">
      <c r="A900" s="16">
        <v>899</v>
      </c>
      <c r="B900" s="1" t="s">
        <v>64</v>
      </c>
      <c r="C900" s="1" t="s">
        <v>21</v>
      </c>
      <c r="D900" s="1" t="s">
        <v>29</v>
      </c>
      <c r="E900" s="1" t="s">
        <v>61</v>
      </c>
      <c r="F900" s="1" t="s">
        <v>31</v>
      </c>
      <c r="G900" s="1" t="s">
        <v>43</v>
      </c>
      <c r="H900" s="1" t="s">
        <v>33</v>
      </c>
      <c r="I900" s="1" t="s">
        <v>34</v>
      </c>
      <c r="J900" s="5">
        <v>2023</v>
      </c>
      <c r="K900" s="1">
        <v>11145.86</v>
      </c>
      <c r="L900" s="1">
        <v>121260</v>
      </c>
      <c r="M900" s="1">
        <v>60</v>
      </c>
      <c r="N900" s="1">
        <v>2</v>
      </c>
      <c r="O900" s="1">
        <v>9745.4699999999993</v>
      </c>
      <c r="P900" s="8">
        <f t="shared" si="70"/>
        <v>4.9480455220188027E-2</v>
      </c>
      <c r="Q900" s="10">
        <f t="shared" si="71"/>
        <v>162.42449999999999</v>
      </c>
      <c r="R900" s="12">
        <f t="shared" si="72"/>
        <v>4872.7349999999997</v>
      </c>
      <c r="S900" s="2">
        <f t="shared" si="73"/>
        <v>1.1436965071977032</v>
      </c>
      <c r="T900" s="18" t="str">
        <f t="shared" si="74"/>
        <v>🔴 Low</v>
      </c>
    </row>
    <row r="901" spans="1:20" x14ac:dyDescent="0.3">
      <c r="A901" s="17">
        <v>900</v>
      </c>
      <c r="B901" s="3" t="s">
        <v>99</v>
      </c>
      <c r="C901" s="3" t="s">
        <v>36</v>
      </c>
      <c r="D901" s="3" t="s">
        <v>41</v>
      </c>
      <c r="E901" s="3" t="s">
        <v>23</v>
      </c>
      <c r="F901" s="3" t="s">
        <v>24</v>
      </c>
      <c r="G901" s="3" t="s">
        <v>43</v>
      </c>
      <c r="H901" s="3" t="s">
        <v>68</v>
      </c>
      <c r="I901" s="3" t="s">
        <v>27</v>
      </c>
      <c r="J901" s="6">
        <v>2023</v>
      </c>
      <c r="K901" s="3">
        <v>4482.55</v>
      </c>
      <c r="L901" s="3">
        <v>774521</v>
      </c>
      <c r="M901" s="3">
        <v>17162</v>
      </c>
      <c r="N901" s="3">
        <v>1482</v>
      </c>
      <c r="O901" s="3">
        <v>4115.3599999999997</v>
      </c>
      <c r="P901" s="9">
        <f t="shared" si="70"/>
        <v>2.2158211333198197</v>
      </c>
      <c r="Q901" s="11">
        <f t="shared" si="71"/>
        <v>0.23979489569980186</v>
      </c>
      <c r="R901" s="13">
        <f t="shared" si="72"/>
        <v>2.7768960863697703</v>
      </c>
      <c r="S901" s="4">
        <f t="shared" si="73"/>
        <v>1.0892242719956458</v>
      </c>
      <c r="T901" s="19" t="str">
        <f t="shared" si="74"/>
        <v>🟡 Mid</v>
      </c>
    </row>
    <row r="902" spans="1:20" x14ac:dyDescent="0.3">
      <c r="A902" s="16">
        <v>901</v>
      </c>
      <c r="B902" s="1" t="s">
        <v>93</v>
      </c>
      <c r="C902" s="1" t="s">
        <v>36</v>
      </c>
      <c r="D902" s="1" t="s">
        <v>41</v>
      </c>
      <c r="E902" s="1" t="s">
        <v>42</v>
      </c>
      <c r="F902" s="1" t="s">
        <v>31</v>
      </c>
      <c r="G902" s="1" t="s">
        <v>32</v>
      </c>
      <c r="H902" s="1" t="s">
        <v>54</v>
      </c>
      <c r="I902" s="1" t="s">
        <v>45</v>
      </c>
      <c r="J902" s="5">
        <v>2023</v>
      </c>
      <c r="K902" s="1">
        <v>7243.99</v>
      </c>
      <c r="L902" s="1">
        <v>79200</v>
      </c>
      <c r="M902" s="1">
        <v>2726</v>
      </c>
      <c r="N902" s="1">
        <v>297</v>
      </c>
      <c r="O902" s="1">
        <v>4591.6000000000004</v>
      </c>
      <c r="P902" s="8">
        <f t="shared" si="70"/>
        <v>3.441919191919192</v>
      </c>
      <c r="Q902" s="10">
        <f t="shared" si="71"/>
        <v>1.6843727072633896</v>
      </c>
      <c r="R902" s="12">
        <f t="shared" si="72"/>
        <v>15.459932659932662</v>
      </c>
      <c r="S902" s="2">
        <f t="shared" si="73"/>
        <v>1.5776613816534539</v>
      </c>
      <c r="T902" s="18" t="str">
        <f t="shared" si="74"/>
        <v>🟢 High</v>
      </c>
    </row>
    <row r="903" spans="1:20" x14ac:dyDescent="0.3">
      <c r="A903" s="17">
        <v>902</v>
      </c>
      <c r="B903" s="3" t="s">
        <v>74</v>
      </c>
      <c r="C903" s="3" t="s">
        <v>21</v>
      </c>
      <c r="D903" s="3" t="s">
        <v>46</v>
      </c>
      <c r="E903" s="3" t="s">
        <v>23</v>
      </c>
      <c r="F903" s="3" t="s">
        <v>31</v>
      </c>
      <c r="G903" s="3" t="s">
        <v>57</v>
      </c>
      <c r="H903" s="3" t="s">
        <v>58</v>
      </c>
      <c r="I903" s="3" t="s">
        <v>27</v>
      </c>
      <c r="J903" s="6">
        <v>2023</v>
      </c>
      <c r="K903" s="3">
        <v>10183.64</v>
      </c>
      <c r="L903" s="3">
        <v>241186</v>
      </c>
      <c r="M903" s="3">
        <v>1184</v>
      </c>
      <c r="N903" s="3">
        <v>93</v>
      </c>
      <c r="O903" s="3">
        <v>7955.83</v>
      </c>
      <c r="P903" s="9">
        <f t="shared" si="70"/>
        <v>0.49090743243803536</v>
      </c>
      <c r="Q903" s="11">
        <f t="shared" si="71"/>
        <v>6.7194510135135133</v>
      </c>
      <c r="R903" s="13">
        <f t="shared" si="72"/>
        <v>85.546559139784947</v>
      </c>
      <c r="S903" s="4">
        <f t="shared" si="73"/>
        <v>1.2800223232522565</v>
      </c>
      <c r="T903" s="19" t="str">
        <f t="shared" si="74"/>
        <v>🔴 Low</v>
      </c>
    </row>
    <row r="904" spans="1:20" x14ac:dyDescent="0.3">
      <c r="A904" s="16">
        <v>903</v>
      </c>
      <c r="B904" s="1" t="s">
        <v>87</v>
      </c>
      <c r="C904" s="1" t="s">
        <v>40</v>
      </c>
      <c r="D904" s="1" t="s">
        <v>22</v>
      </c>
      <c r="E904" s="1" t="s">
        <v>42</v>
      </c>
      <c r="F904" s="1" t="s">
        <v>24</v>
      </c>
      <c r="G904" s="1" t="s">
        <v>25</v>
      </c>
      <c r="H904" s="1" t="s">
        <v>81</v>
      </c>
      <c r="I904" s="1" t="s">
        <v>34</v>
      </c>
      <c r="J904" s="5">
        <v>2024</v>
      </c>
      <c r="K904" s="1">
        <v>13797.85</v>
      </c>
      <c r="L904" s="1">
        <v>778768</v>
      </c>
      <c r="M904" s="1">
        <v>16898</v>
      </c>
      <c r="N904" s="1">
        <v>182</v>
      </c>
      <c r="O904" s="1">
        <v>10464.780000000001</v>
      </c>
      <c r="P904" s="8">
        <f t="shared" si="70"/>
        <v>2.1698374869023893</v>
      </c>
      <c r="Q904" s="10">
        <f t="shared" si="71"/>
        <v>0.61929104035980598</v>
      </c>
      <c r="R904" s="12">
        <f t="shared" si="72"/>
        <v>57.498791208791211</v>
      </c>
      <c r="S904" s="2">
        <f t="shared" si="73"/>
        <v>1.3185035901375852</v>
      </c>
      <c r="T904" s="18" t="str">
        <f t="shared" si="74"/>
        <v>🟡 Mid</v>
      </c>
    </row>
    <row r="905" spans="1:20" x14ac:dyDescent="0.3">
      <c r="A905" s="17">
        <v>904</v>
      </c>
      <c r="B905" s="3" t="s">
        <v>35</v>
      </c>
      <c r="C905" s="3" t="s">
        <v>36</v>
      </c>
      <c r="D905" s="3" t="s">
        <v>41</v>
      </c>
      <c r="E905" s="3" t="s">
        <v>61</v>
      </c>
      <c r="F905" s="3" t="s">
        <v>24</v>
      </c>
      <c r="G905" s="3" t="s">
        <v>57</v>
      </c>
      <c r="H905" s="3" t="s">
        <v>48</v>
      </c>
      <c r="I905" s="3" t="s">
        <v>34</v>
      </c>
      <c r="J905" s="6">
        <v>2023</v>
      </c>
      <c r="K905" s="3">
        <v>17994.36</v>
      </c>
      <c r="L905" s="3">
        <v>390570</v>
      </c>
      <c r="M905" s="3">
        <v>11190</v>
      </c>
      <c r="N905" s="3">
        <v>986</v>
      </c>
      <c r="O905" s="3">
        <v>13389.83</v>
      </c>
      <c r="P905" s="9">
        <f t="shared" si="70"/>
        <v>2.8650433981104539</v>
      </c>
      <c r="Q905" s="11">
        <f t="shared" si="71"/>
        <v>1.1965889186773906</v>
      </c>
      <c r="R905" s="13">
        <f t="shared" si="72"/>
        <v>13.579949290060853</v>
      </c>
      <c r="S905" s="4">
        <f t="shared" si="73"/>
        <v>1.3438826333119989</v>
      </c>
      <c r="T905" s="19" t="str">
        <f t="shared" si="74"/>
        <v>🟡 Mid</v>
      </c>
    </row>
    <row r="906" spans="1:20" x14ac:dyDescent="0.3">
      <c r="A906" s="16">
        <v>905</v>
      </c>
      <c r="B906" s="1" t="s">
        <v>97</v>
      </c>
      <c r="C906" s="1" t="s">
        <v>36</v>
      </c>
      <c r="D906" s="1" t="s">
        <v>46</v>
      </c>
      <c r="E906" s="1" t="s">
        <v>42</v>
      </c>
      <c r="F906" s="1" t="s">
        <v>31</v>
      </c>
      <c r="G906" s="1" t="s">
        <v>57</v>
      </c>
      <c r="H906" s="1" t="s">
        <v>83</v>
      </c>
      <c r="I906" s="1" t="s">
        <v>38</v>
      </c>
      <c r="J906" s="5">
        <v>2024</v>
      </c>
      <c r="K906" s="1">
        <v>15075.78</v>
      </c>
      <c r="L906" s="1">
        <v>567264</v>
      </c>
      <c r="M906" s="1">
        <v>7967</v>
      </c>
      <c r="N906" s="1">
        <v>325</v>
      </c>
      <c r="O906" s="1">
        <v>13603.29</v>
      </c>
      <c r="P906" s="8">
        <f t="shared" si="70"/>
        <v>1.4044607096519435</v>
      </c>
      <c r="Q906" s="10">
        <f t="shared" si="71"/>
        <v>1.7074544998117234</v>
      </c>
      <c r="R906" s="12">
        <f t="shared" si="72"/>
        <v>41.856276923076926</v>
      </c>
      <c r="S906" s="2">
        <f t="shared" si="73"/>
        <v>1.1082451377571161</v>
      </c>
      <c r="T906" s="18" t="str">
        <f t="shared" si="74"/>
        <v>🔴 Low</v>
      </c>
    </row>
    <row r="907" spans="1:20" x14ac:dyDescent="0.3">
      <c r="A907" s="17">
        <v>906</v>
      </c>
      <c r="B907" s="3" t="s">
        <v>88</v>
      </c>
      <c r="C907" s="3" t="s">
        <v>36</v>
      </c>
      <c r="D907" s="3" t="s">
        <v>22</v>
      </c>
      <c r="E907" s="3" t="s">
        <v>30</v>
      </c>
      <c r="F907" s="3" t="s">
        <v>47</v>
      </c>
      <c r="G907" s="3" t="s">
        <v>25</v>
      </c>
      <c r="H907" s="3" t="s">
        <v>52</v>
      </c>
      <c r="I907" s="3" t="s">
        <v>38</v>
      </c>
      <c r="J907" s="6">
        <v>2023</v>
      </c>
      <c r="K907" s="3">
        <v>6625.45</v>
      </c>
      <c r="L907" s="3">
        <v>636678</v>
      </c>
      <c r="M907" s="3">
        <v>13778</v>
      </c>
      <c r="N907" s="3">
        <v>204</v>
      </c>
      <c r="O907" s="3">
        <v>4654.93</v>
      </c>
      <c r="P907" s="9">
        <f t="shared" si="70"/>
        <v>2.1640452473620888</v>
      </c>
      <c r="Q907" s="11">
        <f t="shared" si="71"/>
        <v>0.33785237334881696</v>
      </c>
      <c r="R907" s="13">
        <f t="shared" si="72"/>
        <v>22.818284313725492</v>
      </c>
      <c r="S907" s="4">
        <f t="shared" si="73"/>
        <v>1.4233189328303539</v>
      </c>
      <c r="T907" s="19" t="str">
        <f t="shared" si="74"/>
        <v>🟡 Mid</v>
      </c>
    </row>
    <row r="908" spans="1:20" x14ac:dyDescent="0.3">
      <c r="A908" s="16">
        <v>907</v>
      </c>
      <c r="B908" s="1" t="s">
        <v>102</v>
      </c>
      <c r="C908" s="1" t="s">
        <v>40</v>
      </c>
      <c r="D908" s="1" t="s">
        <v>29</v>
      </c>
      <c r="E908" s="1" t="s">
        <v>56</v>
      </c>
      <c r="F908" s="1" t="s">
        <v>47</v>
      </c>
      <c r="G908" s="1" t="s">
        <v>57</v>
      </c>
      <c r="H908" s="1" t="s">
        <v>44</v>
      </c>
      <c r="I908" s="1" t="s">
        <v>45</v>
      </c>
      <c r="J908" s="5">
        <v>2023</v>
      </c>
      <c r="K908" s="1">
        <v>1989.37</v>
      </c>
      <c r="L908" s="1">
        <v>575054</v>
      </c>
      <c r="M908" s="1">
        <v>10431</v>
      </c>
      <c r="N908" s="1">
        <v>358</v>
      </c>
      <c r="O908" s="1">
        <v>1943.63</v>
      </c>
      <c r="P908" s="8">
        <f t="shared" si="70"/>
        <v>1.8139166060926453</v>
      </c>
      <c r="Q908" s="10">
        <f t="shared" si="71"/>
        <v>0.18633208704822166</v>
      </c>
      <c r="R908" s="12">
        <f t="shared" si="72"/>
        <v>5.4291340782122912</v>
      </c>
      <c r="S908" s="2">
        <f t="shared" si="73"/>
        <v>1.0235332856562205</v>
      </c>
      <c r="T908" s="18" t="str">
        <f t="shared" si="74"/>
        <v>🟡 Mid</v>
      </c>
    </row>
    <row r="909" spans="1:20" x14ac:dyDescent="0.3">
      <c r="A909" s="17">
        <v>908</v>
      </c>
      <c r="B909" s="3" t="s">
        <v>89</v>
      </c>
      <c r="C909" s="3" t="s">
        <v>36</v>
      </c>
      <c r="D909" s="3" t="s">
        <v>13</v>
      </c>
      <c r="E909" s="3" t="s">
        <v>23</v>
      </c>
      <c r="F909" s="3" t="s">
        <v>31</v>
      </c>
      <c r="G909" s="3" t="s">
        <v>43</v>
      </c>
      <c r="H909" s="3" t="s">
        <v>44</v>
      </c>
      <c r="I909" s="3" t="s">
        <v>45</v>
      </c>
      <c r="J909" s="6">
        <v>2023</v>
      </c>
      <c r="K909" s="3">
        <v>10773.46</v>
      </c>
      <c r="L909" s="3">
        <v>285531</v>
      </c>
      <c r="M909" s="3">
        <v>10141</v>
      </c>
      <c r="N909" s="3">
        <v>733</v>
      </c>
      <c r="O909" s="3">
        <v>8913.92</v>
      </c>
      <c r="P909" s="9">
        <f t="shared" si="70"/>
        <v>3.5516283695990976</v>
      </c>
      <c r="Q909" s="11">
        <f t="shared" si="71"/>
        <v>0.87899812641751307</v>
      </c>
      <c r="R909" s="13">
        <f t="shared" si="72"/>
        <v>12.16087312414734</v>
      </c>
      <c r="S909" s="4">
        <f t="shared" si="73"/>
        <v>1.2086108019816197</v>
      </c>
      <c r="T909" s="19" t="str">
        <f t="shared" si="74"/>
        <v>🟢 High</v>
      </c>
    </row>
    <row r="910" spans="1:20" x14ac:dyDescent="0.3">
      <c r="A910" s="16">
        <v>909</v>
      </c>
      <c r="B910" s="1" t="s">
        <v>91</v>
      </c>
      <c r="C910" s="1" t="s">
        <v>36</v>
      </c>
      <c r="D910" s="1" t="s">
        <v>13</v>
      </c>
      <c r="E910" s="1" t="s">
        <v>56</v>
      </c>
      <c r="F910" s="1" t="s">
        <v>31</v>
      </c>
      <c r="G910" s="1" t="s">
        <v>32</v>
      </c>
      <c r="H910" s="1" t="s">
        <v>48</v>
      </c>
      <c r="I910" s="1" t="s">
        <v>34</v>
      </c>
      <c r="J910" s="5">
        <v>2024</v>
      </c>
      <c r="K910" s="1">
        <v>2029.7</v>
      </c>
      <c r="L910" s="1">
        <v>148792</v>
      </c>
      <c r="M910" s="1">
        <v>4656</v>
      </c>
      <c r="N910" s="1">
        <v>332</v>
      </c>
      <c r="O910" s="1">
        <v>1689.21</v>
      </c>
      <c r="P910" s="8">
        <f t="shared" si="70"/>
        <v>3.1292004946502501</v>
      </c>
      <c r="Q910" s="10">
        <f t="shared" si="71"/>
        <v>0.36280283505154642</v>
      </c>
      <c r="R910" s="12">
        <f t="shared" si="72"/>
        <v>5.0879819277108433</v>
      </c>
      <c r="S910" s="2">
        <f t="shared" si="73"/>
        <v>1.2015675966872088</v>
      </c>
      <c r="T910" s="18" t="str">
        <f t="shared" si="74"/>
        <v>🟢 High</v>
      </c>
    </row>
    <row r="911" spans="1:20" x14ac:dyDescent="0.3">
      <c r="A911" s="17">
        <v>910</v>
      </c>
      <c r="B911" s="3" t="s">
        <v>72</v>
      </c>
      <c r="C911" s="3" t="s">
        <v>36</v>
      </c>
      <c r="D911" s="3" t="s">
        <v>46</v>
      </c>
      <c r="E911" s="3" t="s">
        <v>42</v>
      </c>
      <c r="F911" s="3" t="s">
        <v>24</v>
      </c>
      <c r="G911" s="3" t="s">
        <v>50</v>
      </c>
      <c r="H911" s="3" t="s">
        <v>44</v>
      </c>
      <c r="I911" s="3" t="s">
        <v>45</v>
      </c>
      <c r="J911" s="6">
        <v>2024</v>
      </c>
      <c r="K911" s="3">
        <v>19084.38</v>
      </c>
      <c r="L911" s="3">
        <v>27323</v>
      </c>
      <c r="M911" s="3">
        <v>625</v>
      </c>
      <c r="N911" s="3">
        <v>43</v>
      </c>
      <c r="O911" s="3">
        <v>11721.2</v>
      </c>
      <c r="P911" s="9">
        <f t="shared" si="70"/>
        <v>2.2874501335870878</v>
      </c>
      <c r="Q911" s="11">
        <f t="shared" si="71"/>
        <v>18.753920000000001</v>
      </c>
      <c r="R911" s="13">
        <f t="shared" si="72"/>
        <v>272.5860465116279</v>
      </c>
      <c r="S911" s="4">
        <f t="shared" si="73"/>
        <v>1.6281933590417363</v>
      </c>
      <c r="T911" s="19" t="str">
        <f t="shared" si="74"/>
        <v>🟡 Mid</v>
      </c>
    </row>
    <row r="912" spans="1:20" x14ac:dyDescent="0.3">
      <c r="A912" s="16">
        <v>911</v>
      </c>
      <c r="B912" s="1" t="s">
        <v>82</v>
      </c>
      <c r="C912" s="1" t="s">
        <v>40</v>
      </c>
      <c r="D912" s="1" t="s">
        <v>13</v>
      </c>
      <c r="E912" s="1" t="s">
        <v>42</v>
      </c>
      <c r="F912" s="1" t="s">
        <v>24</v>
      </c>
      <c r="G912" s="1" t="s">
        <v>43</v>
      </c>
      <c r="H912" s="1" t="s">
        <v>79</v>
      </c>
      <c r="I912" s="1" t="s">
        <v>45</v>
      </c>
      <c r="J912" s="5">
        <v>2024</v>
      </c>
      <c r="K912" s="1">
        <v>10159.469999999999</v>
      </c>
      <c r="L912" s="1">
        <v>406172</v>
      </c>
      <c r="M912" s="1">
        <v>6040</v>
      </c>
      <c r="N912" s="1">
        <v>388</v>
      </c>
      <c r="O912" s="1">
        <v>6882.63</v>
      </c>
      <c r="P912" s="8">
        <f t="shared" si="70"/>
        <v>1.4870547452803247</v>
      </c>
      <c r="Q912" s="10">
        <f t="shared" si="71"/>
        <v>1.1395082781456953</v>
      </c>
      <c r="R912" s="12">
        <f t="shared" si="72"/>
        <v>17.738737113402063</v>
      </c>
      <c r="S912" s="2">
        <f t="shared" si="73"/>
        <v>1.4761028850889848</v>
      </c>
      <c r="T912" s="18" t="str">
        <f t="shared" si="74"/>
        <v>🔴 Low</v>
      </c>
    </row>
    <row r="913" spans="1:20" x14ac:dyDescent="0.3">
      <c r="A913" s="17">
        <v>912</v>
      </c>
      <c r="B913" s="3" t="s">
        <v>60</v>
      </c>
      <c r="C913" s="3" t="s">
        <v>40</v>
      </c>
      <c r="D913" s="3" t="s">
        <v>13</v>
      </c>
      <c r="E913" s="3" t="s">
        <v>42</v>
      </c>
      <c r="F913" s="3" t="s">
        <v>31</v>
      </c>
      <c r="G913" s="3" t="s">
        <v>43</v>
      </c>
      <c r="H913" s="3" t="s">
        <v>68</v>
      </c>
      <c r="I913" s="3" t="s">
        <v>27</v>
      </c>
      <c r="J913" s="6">
        <v>2024</v>
      </c>
      <c r="K913" s="3">
        <v>18492.62</v>
      </c>
      <c r="L913" s="3">
        <v>280285</v>
      </c>
      <c r="M913" s="3">
        <v>4764</v>
      </c>
      <c r="N913" s="3">
        <v>508</v>
      </c>
      <c r="O913" s="3">
        <v>15685.49</v>
      </c>
      <c r="P913" s="9">
        <f t="shared" si="70"/>
        <v>1.6996985211481173</v>
      </c>
      <c r="Q913" s="11">
        <f t="shared" si="71"/>
        <v>3.2925041981528129</v>
      </c>
      <c r="R913" s="13">
        <f t="shared" si="72"/>
        <v>30.876948818897638</v>
      </c>
      <c r="S913" s="4">
        <f t="shared" si="73"/>
        <v>1.178963487911439</v>
      </c>
      <c r="T913" s="19" t="str">
        <f t="shared" si="74"/>
        <v>🟡 Mid</v>
      </c>
    </row>
    <row r="914" spans="1:20" x14ac:dyDescent="0.3">
      <c r="A914" s="16">
        <v>913</v>
      </c>
      <c r="B914" s="1" t="s">
        <v>72</v>
      </c>
      <c r="C914" s="1" t="s">
        <v>36</v>
      </c>
      <c r="D914" s="1" t="s">
        <v>29</v>
      </c>
      <c r="E914" s="1" t="s">
        <v>56</v>
      </c>
      <c r="F914" s="1" t="s">
        <v>47</v>
      </c>
      <c r="G914" s="1" t="s">
        <v>57</v>
      </c>
      <c r="H914" s="1" t="s">
        <v>58</v>
      </c>
      <c r="I914" s="1" t="s">
        <v>27</v>
      </c>
      <c r="J914" s="5">
        <v>2024</v>
      </c>
      <c r="K914" s="1">
        <v>19073.240000000002</v>
      </c>
      <c r="L914" s="1">
        <v>715902</v>
      </c>
      <c r="M914" s="1">
        <v>17489</v>
      </c>
      <c r="N914" s="1">
        <v>455</v>
      </c>
      <c r="O914" s="1">
        <v>14839.18</v>
      </c>
      <c r="P914" s="8">
        <f t="shared" si="70"/>
        <v>2.442932133169065</v>
      </c>
      <c r="Q914" s="10">
        <f t="shared" si="71"/>
        <v>0.84848647721424897</v>
      </c>
      <c r="R914" s="12">
        <f t="shared" si="72"/>
        <v>32.613582417582421</v>
      </c>
      <c r="S914" s="2">
        <f t="shared" si="73"/>
        <v>1.2853297823734195</v>
      </c>
      <c r="T914" s="18" t="str">
        <f t="shared" si="74"/>
        <v>🟡 Mid</v>
      </c>
    </row>
    <row r="915" spans="1:20" x14ac:dyDescent="0.3">
      <c r="A915" s="17">
        <v>914</v>
      </c>
      <c r="B915" s="3" t="s">
        <v>73</v>
      </c>
      <c r="C915" s="3" t="s">
        <v>21</v>
      </c>
      <c r="D915" s="3" t="s">
        <v>46</v>
      </c>
      <c r="E915" s="3" t="s">
        <v>56</v>
      </c>
      <c r="F915" s="3" t="s">
        <v>47</v>
      </c>
      <c r="G915" s="3" t="s">
        <v>25</v>
      </c>
      <c r="H915" s="3" t="s">
        <v>26</v>
      </c>
      <c r="I915" s="3" t="s">
        <v>27</v>
      </c>
      <c r="J915" s="6">
        <v>2023</v>
      </c>
      <c r="K915" s="3">
        <v>5973.65</v>
      </c>
      <c r="L915" s="3">
        <v>720756</v>
      </c>
      <c r="M915" s="3">
        <v>15788</v>
      </c>
      <c r="N915" s="3">
        <v>1532</v>
      </c>
      <c r="O915" s="3">
        <v>3798.8</v>
      </c>
      <c r="P915" s="9">
        <f t="shared" si="70"/>
        <v>2.1904777761128593</v>
      </c>
      <c r="Q915" s="11">
        <f t="shared" si="71"/>
        <v>0.24061312389156322</v>
      </c>
      <c r="R915" s="13">
        <f t="shared" si="72"/>
        <v>2.4796344647519581</v>
      </c>
      <c r="S915" s="4">
        <f t="shared" si="73"/>
        <v>1.5725097399178687</v>
      </c>
      <c r="T915" s="19" t="str">
        <f t="shared" si="74"/>
        <v>🟡 Mid</v>
      </c>
    </row>
    <row r="916" spans="1:20" x14ac:dyDescent="0.3">
      <c r="A916" s="16">
        <v>915</v>
      </c>
      <c r="B916" s="1" t="s">
        <v>94</v>
      </c>
      <c r="C916" s="1" t="s">
        <v>36</v>
      </c>
      <c r="D916" s="1" t="s">
        <v>13</v>
      </c>
      <c r="E916" s="1" t="s">
        <v>61</v>
      </c>
      <c r="F916" s="1" t="s">
        <v>47</v>
      </c>
      <c r="G916" s="1" t="s">
        <v>57</v>
      </c>
      <c r="H916" s="1" t="s">
        <v>79</v>
      </c>
      <c r="I916" s="1" t="s">
        <v>45</v>
      </c>
      <c r="J916" s="5">
        <v>2024</v>
      </c>
      <c r="K916" s="1">
        <v>7553.05</v>
      </c>
      <c r="L916" s="1">
        <v>696252</v>
      </c>
      <c r="M916" s="1">
        <v>19478</v>
      </c>
      <c r="N916" s="1">
        <v>2025</v>
      </c>
      <c r="O916" s="1">
        <v>4570.97</v>
      </c>
      <c r="P916" s="8">
        <f t="shared" si="70"/>
        <v>2.7975503122432679</v>
      </c>
      <c r="Q916" s="10">
        <f t="shared" si="71"/>
        <v>0.23467347776979158</v>
      </c>
      <c r="R916" s="12">
        <f t="shared" si="72"/>
        <v>2.2572691358024692</v>
      </c>
      <c r="S916" s="2">
        <f t="shared" si="73"/>
        <v>1.6523954434179178</v>
      </c>
      <c r="T916" s="18" t="str">
        <f t="shared" si="74"/>
        <v>🟡 Mid</v>
      </c>
    </row>
    <row r="917" spans="1:20" x14ac:dyDescent="0.3">
      <c r="A917" s="17">
        <v>916</v>
      </c>
      <c r="B917" s="3" t="s">
        <v>96</v>
      </c>
      <c r="C917" s="3" t="s">
        <v>40</v>
      </c>
      <c r="D917" s="3" t="s">
        <v>13</v>
      </c>
      <c r="E917" s="3" t="s">
        <v>30</v>
      </c>
      <c r="F917" s="3" t="s">
        <v>47</v>
      </c>
      <c r="G917" s="3" t="s">
        <v>50</v>
      </c>
      <c r="H917" s="3" t="s">
        <v>68</v>
      </c>
      <c r="I917" s="3" t="s">
        <v>27</v>
      </c>
      <c r="J917" s="6">
        <v>2024</v>
      </c>
      <c r="K917" s="3">
        <v>672.98</v>
      </c>
      <c r="L917" s="3">
        <v>43801</v>
      </c>
      <c r="M917" s="3">
        <v>1019</v>
      </c>
      <c r="N917" s="3">
        <v>119</v>
      </c>
      <c r="O917" s="3">
        <v>539.52</v>
      </c>
      <c r="P917" s="9">
        <f t="shared" si="70"/>
        <v>2.3264309034040318</v>
      </c>
      <c r="Q917" s="11">
        <f t="shared" si="71"/>
        <v>0.52946025515210993</v>
      </c>
      <c r="R917" s="13">
        <f t="shared" si="72"/>
        <v>4.5337815126050423</v>
      </c>
      <c r="S917" s="4">
        <f t="shared" si="73"/>
        <v>1.2473680308422301</v>
      </c>
      <c r="T917" s="19" t="str">
        <f t="shared" si="74"/>
        <v>🟡 Mid</v>
      </c>
    </row>
    <row r="918" spans="1:20" x14ac:dyDescent="0.3">
      <c r="A918" s="16">
        <v>917</v>
      </c>
      <c r="B918" s="1" t="s">
        <v>63</v>
      </c>
      <c r="C918" s="1" t="s">
        <v>21</v>
      </c>
      <c r="D918" s="1" t="s">
        <v>41</v>
      </c>
      <c r="E918" s="1" t="s">
        <v>42</v>
      </c>
      <c r="F918" s="1" t="s">
        <v>31</v>
      </c>
      <c r="G918" s="1" t="s">
        <v>57</v>
      </c>
      <c r="H918" s="1" t="s">
        <v>52</v>
      </c>
      <c r="I918" s="1" t="s">
        <v>38</v>
      </c>
      <c r="J918" s="5">
        <v>2024</v>
      </c>
      <c r="K918" s="1">
        <v>19089.22</v>
      </c>
      <c r="L918" s="1">
        <v>466834</v>
      </c>
      <c r="M918" s="1">
        <v>4966</v>
      </c>
      <c r="N918" s="1">
        <v>407</v>
      </c>
      <c r="O918" s="1">
        <v>18421.16</v>
      </c>
      <c r="P918" s="8">
        <f t="shared" si="70"/>
        <v>1.063761422689864</v>
      </c>
      <c r="Q918" s="10">
        <f t="shared" si="71"/>
        <v>3.7094563028594441</v>
      </c>
      <c r="R918" s="12">
        <f t="shared" si="72"/>
        <v>45.260835380835381</v>
      </c>
      <c r="S918" s="2">
        <f t="shared" si="73"/>
        <v>1.0362659029073089</v>
      </c>
      <c r="T918" s="18" t="str">
        <f t="shared" si="74"/>
        <v>🔴 Low</v>
      </c>
    </row>
    <row r="919" spans="1:20" x14ac:dyDescent="0.3">
      <c r="A919" s="17">
        <v>918</v>
      </c>
      <c r="B919" s="3" t="s">
        <v>93</v>
      </c>
      <c r="C919" s="3" t="s">
        <v>36</v>
      </c>
      <c r="D919" s="3" t="s">
        <v>46</v>
      </c>
      <c r="E919" s="3" t="s">
        <v>30</v>
      </c>
      <c r="F919" s="3" t="s">
        <v>31</v>
      </c>
      <c r="G919" s="3" t="s">
        <v>57</v>
      </c>
      <c r="H919" s="3" t="s">
        <v>83</v>
      </c>
      <c r="I919" s="3" t="s">
        <v>38</v>
      </c>
      <c r="J919" s="6">
        <v>2023</v>
      </c>
      <c r="K919" s="3">
        <v>13264.72</v>
      </c>
      <c r="L919" s="3">
        <v>198205</v>
      </c>
      <c r="M919" s="3">
        <v>7077</v>
      </c>
      <c r="N919" s="3">
        <v>573</v>
      </c>
      <c r="O919" s="3">
        <v>12753.23</v>
      </c>
      <c r="P919" s="9">
        <f t="shared" si="70"/>
        <v>3.5705456471834713</v>
      </c>
      <c r="Q919" s="11">
        <f t="shared" si="71"/>
        <v>1.8020672601384766</v>
      </c>
      <c r="R919" s="13">
        <f t="shared" si="72"/>
        <v>22.256945898778358</v>
      </c>
      <c r="S919" s="4">
        <f t="shared" si="73"/>
        <v>1.0401067023804951</v>
      </c>
      <c r="T919" s="19" t="str">
        <f t="shared" si="74"/>
        <v>🟢 High</v>
      </c>
    </row>
    <row r="920" spans="1:20" hidden="1" x14ac:dyDescent="0.3">
      <c r="A920" s="16">
        <v>919</v>
      </c>
      <c r="B920" s="1" t="s">
        <v>78</v>
      </c>
      <c r="C920" s="1" t="s">
        <v>21</v>
      </c>
      <c r="D920" s="1" t="s">
        <v>22</v>
      </c>
      <c r="E920" s="1" t="s">
        <v>61</v>
      </c>
      <c r="F920" s="1" t="s">
        <v>31</v>
      </c>
      <c r="G920" s="1" t="s">
        <v>25</v>
      </c>
      <c r="H920" s="1" t="s">
        <v>68</v>
      </c>
      <c r="I920" s="1" t="s">
        <v>27</v>
      </c>
      <c r="J920" s="5">
        <v>2024</v>
      </c>
      <c r="K920" s="1">
        <v>19518.009999999998</v>
      </c>
      <c r="L920" s="1">
        <v>21901</v>
      </c>
      <c r="M920" s="1">
        <v>59</v>
      </c>
      <c r="N920" s="1">
        <v>0</v>
      </c>
      <c r="O920" s="1">
        <v>17599.27</v>
      </c>
      <c r="P920" s="8">
        <f t="shared" si="70"/>
        <v>0.26939409159399114</v>
      </c>
      <c r="Q920" s="10">
        <f t="shared" si="71"/>
        <v>298.29271186440678</v>
      </c>
      <c r="R920" s="12" t="str">
        <f t="shared" si="72"/>
        <v>-</v>
      </c>
      <c r="S920" s="2">
        <f t="shared" si="73"/>
        <v>1.1090238401933716</v>
      </c>
      <c r="T920" s="18" t="str">
        <f t="shared" si="74"/>
        <v>🔴 Low</v>
      </c>
    </row>
    <row r="921" spans="1:20" x14ac:dyDescent="0.3">
      <c r="A921" s="17">
        <v>920</v>
      </c>
      <c r="B921" s="3" t="s">
        <v>64</v>
      </c>
      <c r="C921" s="3" t="s">
        <v>21</v>
      </c>
      <c r="D921" s="3" t="s">
        <v>13</v>
      </c>
      <c r="E921" s="3" t="s">
        <v>42</v>
      </c>
      <c r="F921" s="3" t="s">
        <v>24</v>
      </c>
      <c r="G921" s="3" t="s">
        <v>32</v>
      </c>
      <c r="H921" s="3" t="s">
        <v>48</v>
      </c>
      <c r="I921" s="3" t="s">
        <v>34</v>
      </c>
      <c r="J921" s="6">
        <v>2023</v>
      </c>
      <c r="K921" s="3">
        <v>10465.19</v>
      </c>
      <c r="L921" s="3">
        <v>253490</v>
      </c>
      <c r="M921" s="3">
        <v>126</v>
      </c>
      <c r="N921" s="3">
        <v>8</v>
      </c>
      <c r="O921" s="3">
        <v>8786.09</v>
      </c>
      <c r="P921" s="9">
        <f t="shared" si="70"/>
        <v>4.9706102804844367E-2</v>
      </c>
      <c r="Q921" s="11">
        <f t="shared" si="71"/>
        <v>69.730873015873016</v>
      </c>
      <c r="R921" s="13">
        <f t="shared" si="72"/>
        <v>1098.26125</v>
      </c>
      <c r="S921" s="4">
        <f t="shared" si="73"/>
        <v>1.1911089005462043</v>
      </c>
      <c r="T921" s="19" t="str">
        <f t="shared" si="74"/>
        <v>🔴 Low</v>
      </c>
    </row>
    <row r="922" spans="1:20" x14ac:dyDescent="0.3">
      <c r="A922" s="16">
        <v>921</v>
      </c>
      <c r="B922" s="1" t="s">
        <v>76</v>
      </c>
      <c r="C922" s="1" t="s">
        <v>21</v>
      </c>
      <c r="D922" s="1" t="s">
        <v>22</v>
      </c>
      <c r="E922" s="1" t="s">
        <v>56</v>
      </c>
      <c r="F922" s="1" t="s">
        <v>47</v>
      </c>
      <c r="G922" s="1" t="s">
        <v>25</v>
      </c>
      <c r="H922" s="1" t="s">
        <v>68</v>
      </c>
      <c r="I922" s="1" t="s">
        <v>27</v>
      </c>
      <c r="J922" s="5">
        <v>2024</v>
      </c>
      <c r="K922" s="1">
        <v>12335.85</v>
      </c>
      <c r="L922" s="1">
        <v>382788</v>
      </c>
      <c r="M922" s="1">
        <v>1681</v>
      </c>
      <c r="N922" s="1">
        <v>24</v>
      </c>
      <c r="O922" s="1">
        <v>9840.16</v>
      </c>
      <c r="P922" s="8">
        <f t="shared" si="70"/>
        <v>0.43914647272119289</v>
      </c>
      <c r="Q922" s="10">
        <f t="shared" si="71"/>
        <v>5.8537537180249855</v>
      </c>
      <c r="R922" s="12">
        <f t="shared" si="72"/>
        <v>410.00666666666666</v>
      </c>
      <c r="S922" s="2">
        <f t="shared" si="73"/>
        <v>1.2536229085705923</v>
      </c>
      <c r="T922" s="18" t="str">
        <f t="shared" si="74"/>
        <v>🔴 Low</v>
      </c>
    </row>
    <row r="923" spans="1:20" x14ac:dyDescent="0.3">
      <c r="A923" s="17">
        <v>922</v>
      </c>
      <c r="B923" s="3" t="s">
        <v>51</v>
      </c>
      <c r="C923" s="3" t="s">
        <v>40</v>
      </c>
      <c r="D923" s="3" t="s">
        <v>46</v>
      </c>
      <c r="E923" s="3" t="s">
        <v>23</v>
      </c>
      <c r="F923" s="3" t="s">
        <v>24</v>
      </c>
      <c r="G923" s="3" t="s">
        <v>43</v>
      </c>
      <c r="H923" s="3" t="s">
        <v>26</v>
      </c>
      <c r="I923" s="3" t="s">
        <v>27</v>
      </c>
      <c r="J923" s="6">
        <v>2023</v>
      </c>
      <c r="K923" s="3">
        <v>2571.5300000000002</v>
      </c>
      <c r="L923" s="3">
        <v>226752</v>
      </c>
      <c r="M923" s="3">
        <v>4627</v>
      </c>
      <c r="N923" s="3">
        <v>409</v>
      </c>
      <c r="O923" s="3">
        <v>2094.6</v>
      </c>
      <c r="P923" s="9">
        <f t="shared" si="70"/>
        <v>2.040555320349986</v>
      </c>
      <c r="Q923" s="11">
        <f t="shared" si="71"/>
        <v>0.4526907283336935</v>
      </c>
      <c r="R923" s="13">
        <f t="shared" si="72"/>
        <v>5.1212713936430312</v>
      </c>
      <c r="S923" s="4">
        <f t="shared" si="73"/>
        <v>1.2276950253031607</v>
      </c>
      <c r="T923" s="19" t="str">
        <f t="shared" si="74"/>
        <v>🟡 Mid</v>
      </c>
    </row>
    <row r="924" spans="1:20" x14ac:dyDescent="0.3">
      <c r="A924" s="16">
        <v>923</v>
      </c>
      <c r="B924" s="1" t="s">
        <v>95</v>
      </c>
      <c r="C924" s="1" t="s">
        <v>21</v>
      </c>
      <c r="D924" s="1" t="s">
        <v>46</v>
      </c>
      <c r="E924" s="1" t="s">
        <v>56</v>
      </c>
      <c r="F924" s="1" t="s">
        <v>31</v>
      </c>
      <c r="G924" s="1" t="s">
        <v>57</v>
      </c>
      <c r="H924" s="1" t="s">
        <v>44</v>
      </c>
      <c r="I924" s="1" t="s">
        <v>45</v>
      </c>
      <c r="J924" s="5">
        <v>2023</v>
      </c>
      <c r="K924" s="1">
        <v>7931.25</v>
      </c>
      <c r="L924" s="1">
        <v>685748</v>
      </c>
      <c r="M924" s="1">
        <v>6011</v>
      </c>
      <c r="N924" s="1">
        <v>577</v>
      </c>
      <c r="O924" s="1">
        <v>5506.86</v>
      </c>
      <c r="P924" s="8">
        <f t="shared" si="70"/>
        <v>0.87656106908077025</v>
      </c>
      <c r="Q924" s="10">
        <f t="shared" si="71"/>
        <v>0.91613042754949259</v>
      </c>
      <c r="R924" s="12">
        <f t="shared" si="72"/>
        <v>9.5439514731369144</v>
      </c>
      <c r="S924" s="2">
        <f t="shared" si="73"/>
        <v>1.4402490711585187</v>
      </c>
      <c r="T924" s="18" t="str">
        <f t="shared" si="74"/>
        <v>🔴 Low</v>
      </c>
    </row>
    <row r="925" spans="1:20" x14ac:dyDescent="0.3">
      <c r="A925" s="17">
        <v>924</v>
      </c>
      <c r="B925" s="3" t="s">
        <v>76</v>
      </c>
      <c r="C925" s="3" t="s">
        <v>21</v>
      </c>
      <c r="D925" s="3" t="s">
        <v>29</v>
      </c>
      <c r="E925" s="3" t="s">
        <v>42</v>
      </c>
      <c r="F925" s="3" t="s">
        <v>31</v>
      </c>
      <c r="G925" s="3" t="s">
        <v>57</v>
      </c>
      <c r="H925" s="3" t="s">
        <v>79</v>
      </c>
      <c r="I925" s="3" t="s">
        <v>45</v>
      </c>
      <c r="J925" s="6">
        <v>2024</v>
      </c>
      <c r="K925" s="3">
        <v>13354.36</v>
      </c>
      <c r="L925" s="3">
        <v>550611</v>
      </c>
      <c r="M925" s="3">
        <v>4376</v>
      </c>
      <c r="N925" s="3">
        <v>101</v>
      </c>
      <c r="O925" s="3">
        <v>9522.42</v>
      </c>
      <c r="P925" s="9">
        <f t="shared" si="70"/>
        <v>0.79475346478729991</v>
      </c>
      <c r="Q925" s="11">
        <f t="shared" si="71"/>
        <v>2.1760557586837295</v>
      </c>
      <c r="R925" s="13">
        <f t="shared" si="72"/>
        <v>94.281386138613868</v>
      </c>
      <c r="S925" s="4">
        <f t="shared" si="73"/>
        <v>1.4024124119709067</v>
      </c>
      <c r="T925" s="19" t="str">
        <f t="shared" si="74"/>
        <v>🔴 Low</v>
      </c>
    </row>
    <row r="926" spans="1:20" x14ac:dyDescent="0.3">
      <c r="A926" s="16">
        <v>925</v>
      </c>
      <c r="B926" s="1" t="s">
        <v>59</v>
      </c>
      <c r="C926" s="1" t="s">
        <v>21</v>
      </c>
      <c r="D926" s="1" t="s">
        <v>46</v>
      </c>
      <c r="E926" s="1" t="s">
        <v>23</v>
      </c>
      <c r="F926" s="1" t="s">
        <v>24</v>
      </c>
      <c r="G926" s="1" t="s">
        <v>43</v>
      </c>
      <c r="H926" s="1" t="s">
        <v>83</v>
      </c>
      <c r="I926" s="1" t="s">
        <v>38</v>
      </c>
      <c r="J926" s="5">
        <v>2024</v>
      </c>
      <c r="K926" s="1">
        <v>6638.92</v>
      </c>
      <c r="L926" s="1">
        <v>126023</v>
      </c>
      <c r="M926" s="1">
        <v>642</v>
      </c>
      <c r="N926" s="1">
        <v>62</v>
      </c>
      <c r="O926" s="1">
        <v>5126.37</v>
      </c>
      <c r="P926" s="8">
        <f t="shared" si="70"/>
        <v>0.50943081818398228</v>
      </c>
      <c r="Q926" s="10">
        <f t="shared" si="71"/>
        <v>7.9849999999999994</v>
      </c>
      <c r="R926" s="12">
        <f t="shared" si="72"/>
        <v>82.683387096774197</v>
      </c>
      <c r="S926" s="2">
        <f t="shared" si="73"/>
        <v>1.2950528346568819</v>
      </c>
      <c r="T926" s="18" t="str">
        <f t="shared" si="74"/>
        <v>🔴 Low</v>
      </c>
    </row>
    <row r="927" spans="1:20" x14ac:dyDescent="0.3">
      <c r="A927" s="17">
        <v>926</v>
      </c>
      <c r="B927" s="3" t="s">
        <v>72</v>
      </c>
      <c r="C927" s="3" t="s">
        <v>36</v>
      </c>
      <c r="D927" s="3" t="s">
        <v>29</v>
      </c>
      <c r="E927" s="3" t="s">
        <v>61</v>
      </c>
      <c r="F927" s="3" t="s">
        <v>24</v>
      </c>
      <c r="G927" s="3" t="s">
        <v>43</v>
      </c>
      <c r="H927" s="3" t="s">
        <v>44</v>
      </c>
      <c r="I927" s="3" t="s">
        <v>45</v>
      </c>
      <c r="J927" s="6">
        <v>2024</v>
      </c>
      <c r="K927" s="3">
        <v>12301.76</v>
      </c>
      <c r="L927" s="3">
        <v>475777</v>
      </c>
      <c r="M927" s="3">
        <v>10903</v>
      </c>
      <c r="N927" s="3">
        <v>366</v>
      </c>
      <c r="O927" s="3">
        <v>8568.18</v>
      </c>
      <c r="P927" s="9">
        <f t="shared" si="70"/>
        <v>2.291619813484048</v>
      </c>
      <c r="Q927" s="11">
        <f t="shared" si="71"/>
        <v>0.78585526919196558</v>
      </c>
      <c r="R927" s="13">
        <f t="shared" si="72"/>
        <v>23.410327868852459</v>
      </c>
      <c r="S927" s="4">
        <f t="shared" si="73"/>
        <v>1.4357494823871579</v>
      </c>
      <c r="T927" s="19" t="str">
        <f t="shared" si="74"/>
        <v>🟡 Mid</v>
      </c>
    </row>
    <row r="928" spans="1:20" x14ac:dyDescent="0.3">
      <c r="A928" s="16">
        <v>927</v>
      </c>
      <c r="B928" s="1" t="s">
        <v>97</v>
      </c>
      <c r="C928" s="1" t="s">
        <v>36</v>
      </c>
      <c r="D928" s="1" t="s">
        <v>41</v>
      </c>
      <c r="E928" s="1" t="s">
        <v>61</v>
      </c>
      <c r="F928" s="1" t="s">
        <v>31</v>
      </c>
      <c r="G928" s="1" t="s">
        <v>25</v>
      </c>
      <c r="H928" s="1" t="s">
        <v>79</v>
      </c>
      <c r="I928" s="1" t="s">
        <v>45</v>
      </c>
      <c r="J928" s="5">
        <v>2024</v>
      </c>
      <c r="K928" s="1">
        <v>16019.19</v>
      </c>
      <c r="L928" s="1">
        <v>363163</v>
      </c>
      <c r="M928" s="1">
        <v>9876</v>
      </c>
      <c r="N928" s="1">
        <v>925</v>
      </c>
      <c r="O928" s="1">
        <v>16226.86</v>
      </c>
      <c r="P928" s="8">
        <f t="shared" si="70"/>
        <v>2.719440031060433</v>
      </c>
      <c r="Q928" s="10">
        <f t="shared" si="71"/>
        <v>1.6430599432968813</v>
      </c>
      <c r="R928" s="12">
        <f t="shared" si="72"/>
        <v>17.542551351351353</v>
      </c>
      <c r="S928" s="2">
        <f t="shared" si="73"/>
        <v>0.9872020834591535</v>
      </c>
      <c r="T928" s="18" t="str">
        <f t="shared" si="74"/>
        <v>🟡 Mid</v>
      </c>
    </row>
    <row r="929" spans="1:20" x14ac:dyDescent="0.3">
      <c r="A929" s="17">
        <v>928</v>
      </c>
      <c r="B929" s="3" t="s">
        <v>74</v>
      </c>
      <c r="C929" s="3" t="s">
        <v>21</v>
      </c>
      <c r="D929" s="3" t="s">
        <v>46</v>
      </c>
      <c r="E929" s="3" t="s">
        <v>30</v>
      </c>
      <c r="F929" s="3" t="s">
        <v>47</v>
      </c>
      <c r="G929" s="3" t="s">
        <v>57</v>
      </c>
      <c r="H929" s="3" t="s">
        <v>26</v>
      </c>
      <c r="I929" s="3" t="s">
        <v>27</v>
      </c>
      <c r="J929" s="6">
        <v>2023</v>
      </c>
      <c r="K929" s="3">
        <v>8663.2000000000007</v>
      </c>
      <c r="L929" s="3">
        <v>586517</v>
      </c>
      <c r="M929" s="3">
        <v>5218</v>
      </c>
      <c r="N929" s="3">
        <v>431</v>
      </c>
      <c r="O929" s="3">
        <v>6907.53</v>
      </c>
      <c r="P929" s="9">
        <f t="shared" si="70"/>
        <v>0.88965878226888573</v>
      </c>
      <c r="Q929" s="11">
        <f t="shared" si="71"/>
        <v>1.3237888079724032</v>
      </c>
      <c r="R929" s="13">
        <f t="shared" si="72"/>
        <v>16.026751740139211</v>
      </c>
      <c r="S929" s="4">
        <f t="shared" si="73"/>
        <v>1.254167553380152</v>
      </c>
      <c r="T929" s="19" t="str">
        <f t="shared" si="74"/>
        <v>🔴 Low</v>
      </c>
    </row>
    <row r="930" spans="1:20" x14ac:dyDescent="0.3">
      <c r="A930" s="16">
        <v>929</v>
      </c>
      <c r="B930" s="1" t="s">
        <v>55</v>
      </c>
      <c r="C930" s="1" t="s">
        <v>36</v>
      </c>
      <c r="D930" s="1" t="s">
        <v>22</v>
      </c>
      <c r="E930" s="1" t="s">
        <v>56</v>
      </c>
      <c r="F930" s="1" t="s">
        <v>24</v>
      </c>
      <c r="G930" s="1" t="s">
        <v>25</v>
      </c>
      <c r="H930" s="1" t="s">
        <v>58</v>
      </c>
      <c r="I930" s="1" t="s">
        <v>27</v>
      </c>
      <c r="J930" s="5">
        <v>2023</v>
      </c>
      <c r="K930" s="1">
        <v>10540.49</v>
      </c>
      <c r="L930" s="1">
        <v>560021</v>
      </c>
      <c r="M930" s="1">
        <v>20970</v>
      </c>
      <c r="N930" s="1">
        <v>216</v>
      </c>
      <c r="O930" s="1">
        <v>8105.36</v>
      </c>
      <c r="P930" s="8">
        <f t="shared" si="70"/>
        <v>3.7445024383014212</v>
      </c>
      <c r="Q930" s="10">
        <f t="shared" si="71"/>
        <v>0.38652169766332856</v>
      </c>
      <c r="R930" s="12">
        <f t="shared" si="72"/>
        <v>37.52481481481481</v>
      </c>
      <c r="S930" s="2">
        <f t="shared" si="73"/>
        <v>1.300434527275778</v>
      </c>
      <c r="T930" s="18" t="str">
        <f t="shared" si="74"/>
        <v>🟢 High</v>
      </c>
    </row>
    <row r="931" spans="1:20" x14ac:dyDescent="0.3">
      <c r="A931" s="17">
        <v>930</v>
      </c>
      <c r="B931" s="3" t="s">
        <v>64</v>
      </c>
      <c r="C931" s="3" t="s">
        <v>21</v>
      </c>
      <c r="D931" s="3" t="s">
        <v>13</v>
      </c>
      <c r="E931" s="3" t="s">
        <v>42</v>
      </c>
      <c r="F931" s="3" t="s">
        <v>47</v>
      </c>
      <c r="G931" s="3" t="s">
        <v>43</v>
      </c>
      <c r="H931" s="3" t="s">
        <v>79</v>
      </c>
      <c r="I931" s="3" t="s">
        <v>45</v>
      </c>
      <c r="J931" s="6">
        <v>2023</v>
      </c>
      <c r="K931" s="3">
        <v>19885.62</v>
      </c>
      <c r="L931" s="3">
        <v>52435</v>
      </c>
      <c r="M931" s="3">
        <v>89</v>
      </c>
      <c r="N931" s="3">
        <v>4</v>
      </c>
      <c r="O931" s="3">
        <v>19621.22</v>
      </c>
      <c r="P931" s="9">
        <f t="shared" si="70"/>
        <v>0.1697339563268809</v>
      </c>
      <c r="Q931" s="11">
        <f t="shared" si="71"/>
        <v>220.46314606741575</v>
      </c>
      <c r="R931" s="13">
        <f t="shared" si="72"/>
        <v>4905.3050000000003</v>
      </c>
      <c r="S931" s="4">
        <f t="shared" si="73"/>
        <v>1.0134752069443183</v>
      </c>
      <c r="T931" s="19" t="str">
        <f t="shared" si="74"/>
        <v>🔴 Low</v>
      </c>
    </row>
    <row r="932" spans="1:20" x14ac:dyDescent="0.3">
      <c r="A932" s="16">
        <v>931</v>
      </c>
      <c r="B932" s="1" t="s">
        <v>80</v>
      </c>
      <c r="C932" s="1" t="s">
        <v>40</v>
      </c>
      <c r="D932" s="1" t="s">
        <v>41</v>
      </c>
      <c r="E932" s="1" t="s">
        <v>56</v>
      </c>
      <c r="F932" s="1" t="s">
        <v>47</v>
      </c>
      <c r="G932" s="1" t="s">
        <v>50</v>
      </c>
      <c r="H932" s="1" t="s">
        <v>54</v>
      </c>
      <c r="I932" s="1" t="s">
        <v>45</v>
      </c>
      <c r="J932" s="5">
        <v>2023</v>
      </c>
      <c r="K932" s="1">
        <v>14802.14</v>
      </c>
      <c r="L932" s="1">
        <v>763862</v>
      </c>
      <c r="M932" s="1">
        <v>13073</v>
      </c>
      <c r="N932" s="1">
        <v>1763</v>
      </c>
      <c r="O932" s="1">
        <v>9402.19</v>
      </c>
      <c r="P932" s="8">
        <f t="shared" si="70"/>
        <v>1.7114347879590814</v>
      </c>
      <c r="Q932" s="10">
        <f t="shared" si="71"/>
        <v>0.71920676202860867</v>
      </c>
      <c r="R932" s="12">
        <f t="shared" si="72"/>
        <v>5.3330629608621667</v>
      </c>
      <c r="S932" s="2">
        <f t="shared" si="73"/>
        <v>1.5743289595296412</v>
      </c>
      <c r="T932" s="18" t="str">
        <f t="shared" si="74"/>
        <v>🟡 Mid</v>
      </c>
    </row>
    <row r="933" spans="1:20" x14ac:dyDescent="0.3">
      <c r="A933" s="17">
        <v>932</v>
      </c>
      <c r="B933" s="3" t="s">
        <v>72</v>
      </c>
      <c r="C933" s="3" t="s">
        <v>36</v>
      </c>
      <c r="D933" s="3" t="s">
        <v>41</v>
      </c>
      <c r="E933" s="3" t="s">
        <v>56</v>
      </c>
      <c r="F933" s="3" t="s">
        <v>47</v>
      </c>
      <c r="G933" s="3" t="s">
        <v>50</v>
      </c>
      <c r="H933" s="3" t="s">
        <v>26</v>
      </c>
      <c r="I933" s="3" t="s">
        <v>27</v>
      </c>
      <c r="J933" s="6">
        <v>2024</v>
      </c>
      <c r="K933" s="3">
        <v>18922.98</v>
      </c>
      <c r="L933" s="3">
        <v>106605</v>
      </c>
      <c r="M933" s="3">
        <v>1803</v>
      </c>
      <c r="N933" s="3">
        <v>141</v>
      </c>
      <c r="O933" s="3">
        <v>15274.31</v>
      </c>
      <c r="P933" s="9">
        <f t="shared" si="70"/>
        <v>1.6912902771915015</v>
      </c>
      <c r="Q933" s="11">
        <f t="shared" si="71"/>
        <v>8.471608430393788</v>
      </c>
      <c r="R933" s="13">
        <f t="shared" si="72"/>
        <v>108.32843971631205</v>
      </c>
      <c r="S933" s="4">
        <f t="shared" si="73"/>
        <v>1.238876256930755</v>
      </c>
      <c r="T933" s="19" t="str">
        <f t="shared" si="74"/>
        <v>🟡 Mid</v>
      </c>
    </row>
    <row r="934" spans="1:20" x14ac:dyDescent="0.3">
      <c r="A934" s="16">
        <v>933</v>
      </c>
      <c r="B934" s="1" t="s">
        <v>35</v>
      </c>
      <c r="C934" s="1" t="s">
        <v>36</v>
      </c>
      <c r="D934" s="1" t="s">
        <v>13</v>
      </c>
      <c r="E934" s="1" t="s">
        <v>23</v>
      </c>
      <c r="F934" s="1" t="s">
        <v>47</v>
      </c>
      <c r="G934" s="1" t="s">
        <v>43</v>
      </c>
      <c r="H934" s="1" t="s">
        <v>26</v>
      </c>
      <c r="I934" s="1" t="s">
        <v>27</v>
      </c>
      <c r="J934" s="5">
        <v>2023</v>
      </c>
      <c r="K934" s="1">
        <v>1317.72</v>
      </c>
      <c r="L934" s="1">
        <v>775310</v>
      </c>
      <c r="M934" s="1">
        <v>26351</v>
      </c>
      <c r="N934" s="1">
        <v>2111</v>
      </c>
      <c r="O934" s="1">
        <v>944.63</v>
      </c>
      <c r="P934" s="8">
        <f t="shared" si="70"/>
        <v>3.398769524448285</v>
      </c>
      <c r="Q934" s="10">
        <f t="shared" si="71"/>
        <v>3.5847975408902888E-2</v>
      </c>
      <c r="R934" s="12">
        <f t="shared" si="72"/>
        <v>0.44747986736144008</v>
      </c>
      <c r="S934" s="2">
        <f t="shared" si="73"/>
        <v>1.3949588727861704</v>
      </c>
      <c r="T934" s="18" t="str">
        <f t="shared" si="74"/>
        <v>🟢 High</v>
      </c>
    </row>
    <row r="935" spans="1:20" x14ac:dyDescent="0.3">
      <c r="A935" s="17">
        <v>934</v>
      </c>
      <c r="B935" s="3" t="s">
        <v>78</v>
      </c>
      <c r="C935" s="3" t="s">
        <v>21</v>
      </c>
      <c r="D935" s="3" t="s">
        <v>22</v>
      </c>
      <c r="E935" s="3" t="s">
        <v>23</v>
      </c>
      <c r="F935" s="3" t="s">
        <v>47</v>
      </c>
      <c r="G935" s="3" t="s">
        <v>25</v>
      </c>
      <c r="H935" s="3" t="s">
        <v>58</v>
      </c>
      <c r="I935" s="3" t="s">
        <v>27</v>
      </c>
      <c r="J935" s="6">
        <v>2024</v>
      </c>
      <c r="K935" s="3">
        <v>5840.05</v>
      </c>
      <c r="L935" s="3">
        <v>465237</v>
      </c>
      <c r="M935" s="3">
        <v>717</v>
      </c>
      <c r="N935" s="3">
        <v>5</v>
      </c>
      <c r="O935" s="3">
        <v>3919.34</v>
      </c>
      <c r="P935" s="9">
        <f t="shared" si="70"/>
        <v>0.15411499945189228</v>
      </c>
      <c r="Q935" s="11">
        <f t="shared" si="71"/>
        <v>5.4663040446304043</v>
      </c>
      <c r="R935" s="13">
        <f t="shared" si="72"/>
        <v>783.86800000000005</v>
      </c>
      <c r="S935" s="4">
        <f t="shared" si="73"/>
        <v>1.4900595508427439</v>
      </c>
      <c r="T935" s="19" t="str">
        <f t="shared" si="74"/>
        <v>🔴 Low</v>
      </c>
    </row>
    <row r="936" spans="1:20" x14ac:dyDescent="0.3">
      <c r="A936" s="16">
        <v>935</v>
      </c>
      <c r="B936" s="1" t="s">
        <v>85</v>
      </c>
      <c r="C936" s="1" t="s">
        <v>40</v>
      </c>
      <c r="D936" s="1" t="s">
        <v>46</v>
      </c>
      <c r="E936" s="1" t="s">
        <v>23</v>
      </c>
      <c r="F936" s="1" t="s">
        <v>24</v>
      </c>
      <c r="G936" s="1" t="s">
        <v>57</v>
      </c>
      <c r="H936" s="1" t="s">
        <v>83</v>
      </c>
      <c r="I936" s="1" t="s">
        <v>38</v>
      </c>
      <c r="J936" s="5">
        <v>2023</v>
      </c>
      <c r="K936" s="1">
        <v>1033.33</v>
      </c>
      <c r="L936" s="1">
        <v>46675</v>
      </c>
      <c r="M936" s="1">
        <v>1028</v>
      </c>
      <c r="N936" s="1">
        <v>90</v>
      </c>
      <c r="O936" s="1">
        <v>622.89</v>
      </c>
      <c r="P936" s="8">
        <f t="shared" si="70"/>
        <v>2.202463845741832</v>
      </c>
      <c r="Q936" s="10">
        <f t="shared" si="71"/>
        <v>0.60592412451361866</v>
      </c>
      <c r="R936" s="12">
        <f t="shared" si="72"/>
        <v>6.9210000000000003</v>
      </c>
      <c r="S936" s="2">
        <f t="shared" si="73"/>
        <v>1.6589285427603588</v>
      </c>
      <c r="T936" s="18" t="str">
        <f t="shared" si="74"/>
        <v>🟡 Mid</v>
      </c>
    </row>
    <row r="937" spans="1:20" x14ac:dyDescent="0.3">
      <c r="A937" s="17">
        <v>936</v>
      </c>
      <c r="B937" s="3" t="s">
        <v>72</v>
      </c>
      <c r="C937" s="3" t="s">
        <v>36</v>
      </c>
      <c r="D937" s="3" t="s">
        <v>46</v>
      </c>
      <c r="E937" s="3" t="s">
        <v>23</v>
      </c>
      <c r="F937" s="3" t="s">
        <v>31</v>
      </c>
      <c r="G937" s="3" t="s">
        <v>50</v>
      </c>
      <c r="H937" s="3" t="s">
        <v>54</v>
      </c>
      <c r="I937" s="3" t="s">
        <v>45</v>
      </c>
      <c r="J937" s="6">
        <v>2024</v>
      </c>
      <c r="K937" s="3">
        <v>10657.43</v>
      </c>
      <c r="L937" s="3">
        <v>480895</v>
      </c>
      <c r="M937" s="3">
        <v>12717</v>
      </c>
      <c r="N937" s="3">
        <v>733</v>
      </c>
      <c r="O937" s="3">
        <v>6885.11</v>
      </c>
      <c r="P937" s="9">
        <f t="shared" si="70"/>
        <v>2.6444442133937764</v>
      </c>
      <c r="Q937" s="11">
        <f t="shared" si="71"/>
        <v>0.54140992372414876</v>
      </c>
      <c r="R937" s="13">
        <f t="shared" si="72"/>
        <v>9.3930559345156883</v>
      </c>
      <c r="S937" s="4">
        <f t="shared" si="73"/>
        <v>1.5478953858398778</v>
      </c>
      <c r="T937" s="19" t="str">
        <f t="shared" si="74"/>
        <v>🟡 Mid</v>
      </c>
    </row>
    <row r="938" spans="1:20" x14ac:dyDescent="0.3">
      <c r="A938" s="16">
        <v>937</v>
      </c>
      <c r="B938" s="1" t="s">
        <v>20</v>
      </c>
      <c r="C938" s="1" t="s">
        <v>21</v>
      </c>
      <c r="D938" s="1" t="s">
        <v>41</v>
      </c>
      <c r="E938" s="1" t="s">
        <v>56</v>
      </c>
      <c r="F938" s="1" t="s">
        <v>47</v>
      </c>
      <c r="G938" s="1" t="s">
        <v>43</v>
      </c>
      <c r="H938" s="1" t="s">
        <v>58</v>
      </c>
      <c r="I938" s="1" t="s">
        <v>27</v>
      </c>
      <c r="J938" s="5">
        <v>2023</v>
      </c>
      <c r="K938" s="1">
        <v>19865.009999999998</v>
      </c>
      <c r="L938" s="1">
        <v>772173</v>
      </c>
      <c r="M938" s="1">
        <v>443</v>
      </c>
      <c r="N938" s="1">
        <v>55</v>
      </c>
      <c r="O938" s="1">
        <v>18128.740000000002</v>
      </c>
      <c r="P938" s="8">
        <f t="shared" si="70"/>
        <v>5.7370563332310248E-2</v>
      </c>
      <c r="Q938" s="10">
        <f t="shared" si="71"/>
        <v>40.922663656884879</v>
      </c>
      <c r="R938" s="12">
        <f t="shared" si="72"/>
        <v>329.6134545454546</v>
      </c>
      <c r="S938" s="2">
        <f t="shared" si="73"/>
        <v>1.0957744443353481</v>
      </c>
      <c r="T938" s="18" t="str">
        <f t="shared" si="74"/>
        <v>🔴 Low</v>
      </c>
    </row>
    <row r="939" spans="1:20" x14ac:dyDescent="0.3">
      <c r="A939" s="17">
        <v>938</v>
      </c>
      <c r="B939" s="3" t="s">
        <v>70</v>
      </c>
      <c r="C939" s="3" t="s">
        <v>36</v>
      </c>
      <c r="D939" s="3" t="s">
        <v>13</v>
      </c>
      <c r="E939" s="3" t="s">
        <v>30</v>
      </c>
      <c r="F939" s="3" t="s">
        <v>31</v>
      </c>
      <c r="G939" s="3" t="s">
        <v>43</v>
      </c>
      <c r="H939" s="3" t="s">
        <v>52</v>
      </c>
      <c r="I939" s="3" t="s">
        <v>38</v>
      </c>
      <c r="J939" s="6">
        <v>2024</v>
      </c>
      <c r="K939" s="3">
        <v>12797.17</v>
      </c>
      <c r="L939" s="3">
        <v>542756</v>
      </c>
      <c r="M939" s="3">
        <v>8973</v>
      </c>
      <c r="N939" s="3">
        <v>870</v>
      </c>
      <c r="O939" s="3">
        <v>8076.51</v>
      </c>
      <c r="P939" s="9">
        <f t="shared" si="70"/>
        <v>1.6532290753119265</v>
      </c>
      <c r="Q939" s="11">
        <f t="shared" si="71"/>
        <v>0.90009027081243731</v>
      </c>
      <c r="R939" s="13">
        <f t="shared" si="72"/>
        <v>9.2833448275862072</v>
      </c>
      <c r="S939" s="4">
        <f t="shared" si="73"/>
        <v>1.5844925592861272</v>
      </c>
      <c r="T939" s="19" t="str">
        <f t="shared" si="74"/>
        <v>🟡 Mid</v>
      </c>
    </row>
    <row r="940" spans="1:20" x14ac:dyDescent="0.3">
      <c r="A940" s="16">
        <v>939</v>
      </c>
      <c r="B940" s="1" t="s">
        <v>95</v>
      </c>
      <c r="C940" s="1" t="s">
        <v>21</v>
      </c>
      <c r="D940" s="1" t="s">
        <v>22</v>
      </c>
      <c r="E940" s="1" t="s">
        <v>56</v>
      </c>
      <c r="F940" s="1" t="s">
        <v>24</v>
      </c>
      <c r="G940" s="1" t="s">
        <v>32</v>
      </c>
      <c r="H940" s="1" t="s">
        <v>37</v>
      </c>
      <c r="I940" s="1" t="s">
        <v>38</v>
      </c>
      <c r="J940" s="5">
        <v>2023</v>
      </c>
      <c r="K940" s="1">
        <v>16907.91</v>
      </c>
      <c r="L940" s="1">
        <v>698245</v>
      </c>
      <c r="M940" s="1">
        <v>7449</v>
      </c>
      <c r="N940" s="1">
        <v>143</v>
      </c>
      <c r="O940" s="1">
        <v>14599.3</v>
      </c>
      <c r="P940" s="8">
        <f t="shared" si="70"/>
        <v>1.0668175210706843</v>
      </c>
      <c r="Q940" s="10">
        <f t="shared" si="71"/>
        <v>1.9599006578064169</v>
      </c>
      <c r="R940" s="12">
        <f t="shared" si="72"/>
        <v>102.09300699300699</v>
      </c>
      <c r="S940" s="2">
        <f t="shared" si="73"/>
        <v>1.1581315542526012</v>
      </c>
      <c r="T940" s="18" t="str">
        <f t="shared" si="74"/>
        <v>🔴 Low</v>
      </c>
    </row>
    <row r="941" spans="1:20" x14ac:dyDescent="0.3">
      <c r="A941" s="17">
        <v>940</v>
      </c>
      <c r="B941" s="3" t="s">
        <v>65</v>
      </c>
      <c r="C941" s="3" t="s">
        <v>36</v>
      </c>
      <c r="D941" s="3" t="s">
        <v>29</v>
      </c>
      <c r="E941" s="3" t="s">
        <v>56</v>
      </c>
      <c r="F941" s="3" t="s">
        <v>24</v>
      </c>
      <c r="G941" s="3" t="s">
        <v>25</v>
      </c>
      <c r="H941" s="3" t="s">
        <v>52</v>
      </c>
      <c r="I941" s="3" t="s">
        <v>38</v>
      </c>
      <c r="J941" s="6">
        <v>2024</v>
      </c>
      <c r="K941" s="3">
        <v>3452.95</v>
      </c>
      <c r="L941" s="3">
        <v>201193</v>
      </c>
      <c r="M941" s="3">
        <v>4430</v>
      </c>
      <c r="N941" s="3">
        <v>141</v>
      </c>
      <c r="O941" s="3">
        <v>2481.61</v>
      </c>
      <c r="P941" s="9">
        <f t="shared" si="70"/>
        <v>2.2018658700849434</v>
      </c>
      <c r="Q941" s="11">
        <f t="shared" si="71"/>
        <v>0.56018284424379239</v>
      </c>
      <c r="R941" s="13">
        <f t="shared" si="72"/>
        <v>17.600070921985818</v>
      </c>
      <c r="S941" s="4">
        <f t="shared" si="73"/>
        <v>1.3914152505832906</v>
      </c>
      <c r="T941" s="19" t="str">
        <f t="shared" si="74"/>
        <v>🟡 Mid</v>
      </c>
    </row>
    <row r="942" spans="1:20" x14ac:dyDescent="0.3">
      <c r="A942" s="16">
        <v>941</v>
      </c>
      <c r="B942" s="1" t="s">
        <v>70</v>
      </c>
      <c r="C942" s="1" t="s">
        <v>36</v>
      </c>
      <c r="D942" s="1" t="s">
        <v>29</v>
      </c>
      <c r="E942" s="1" t="s">
        <v>30</v>
      </c>
      <c r="F942" s="1" t="s">
        <v>24</v>
      </c>
      <c r="G942" s="1" t="s">
        <v>50</v>
      </c>
      <c r="H942" s="1" t="s">
        <v>58</v>
      </c>
      <c r="I942" s="1" t="s">
        <v>27</v>
      </c>
      <c r="J942" s="5">
        <v>2024</v>
      </c>
      <c r="K942" s="1">
        <v>11375.87</v>
      </c>
      <c r="L942" s="1">
        <v>223677</v>
      </c>
      <c r="M942" s="1">
        <v>6184</v>
      </c>
      <c r="N942" s="1">
        <v>189</v>
      </c>
      <c r="O942" s="1">
        <v>9756.16</v>
      </c>
      <c r="P942" s="8">
        <f t="shared" si="70"/>
        <v>2.7647008856520787</v>
      </c>
      <c r="Q942" s="10">
        <f t="shared" si="71"/>
        <v>1.5776455368693403</v>
      </c>
      <c r="R942" s="12">
        <f t="shared" si="72"/>
        <v>51.619894179894182</v>
      </c>
      <c r="S942" s="2">
        <f t="shared" si="73"/>
        <v>1.1660192124770403</v>
      </c>
      <c r="T942" s="18" t="str">
        <f t="shared" si="74"/>
        <v>🟡 Mid</v>
      </c>
    </row>
    <row r="943" spans="1:20" x14ac:dyDescent="0.3">
      <c r="A943" s="17">
        <v>942</v>
      </c>
      <c r="B943" s="3" t="s">
        <v>64</v>
      </c>
      <c r="C943" s="3" t="s">
        <v>21</v>
      </c>
      <c r="D943" s="3" t="s">
        <v>13</v>
      </c>
      <c r="E943" s="3" t="s">
        <v>56</v>
      </c>
      <c r="F943" s="3" t="s">
        <v>31</v>
      </c>
      <c r="G943" s="3" t="s">
        <v>25</v>
      </c>
      <c r="H943" s="3" t="s">
        <v>52</v>
      </c>
      <c r="I943" s="3" t="s">
        <v>38</v>
      </c>
      <c r="J943" s="6">
        <v>2023</v>
      </c>
      <c r="K943" s="3">
        <v>17563.259999999998</v>
      </c>
      <c r="L943" s="3">
        <v>705423</v>
      </c>
      <c r="M943" s="3">
        <v>3976</v>
      </c>
      <c r="N943" s="3">
        <v>333</v>
      </c>
      <c r="O943" s="3">
        <v>16415.21</v>
      </c>
      <c r="P943" s="9">
        <f t="shared" si="70"/>
        <v>0.56363345113499275</v>
      </c>
      <c r="Q943" s="11">
        <f t="shared" si="71"/>
        <v>4.1285739436619719</v>
      </c>
      <c r="R943" s="13">
        <f t="shared" si="72"/>
        <v>49.294924924924921</v>
      </c>
      <c r="S943" s="4">
        <f t="shared" si="73"/>
        <v>1.0699381853780732</v>
      </c>
      <c r="T943" s="19" t="str">
        <f t="shared" si="74"/>
        <v>🔴 Low</v>
      </c>
    </row>
    <row r="944" spans="1:20" x14ac:dyDescent="0.3">
      <c r="A944" s="16">
        <v>943</v>
      </c>
      <c r="B944" s="1" t="s">
        <v>100</v>
      </c>
      <c r="C944" s="1" t="s">
        <v>40</v>
      </c>
      <c r="D944" s="1" t="s">
        <v>29</v>
      </c>
      <c r="E944" s="1" t="s">
        <v>56</v>
      </c>
      <c r="F944" s="1" t="s">
        <v>47</v>
      </c>
      <c r="G944" s="1" t="s">
        <v>57</v>
      </c>
      <c r="H944" s="1" t="s">
        <v>83</v>
      </c>
      <c r="I944" s="1" t="s">
        <v>38</v>
      </c>
      <c r="J944" s="5">
        <v>2023</v>
      </c>
      <c r="K944" s="1">
        <v>19276.919999999998</v>
      </c>
      <c r="L944" s="1">
        <v>796634</v>
      </c>
      <c r="M944" s="1">
        <v>13109</v>
      </c>
      <c r="N944" s="1">
        <v>306</v>
      </c>
      <c r="O944" s="1">
        <v>13569.15</v>
      </c>
      <c r="P944" s="8">
        <f t="shared" si="70"/>
        <v>1.6455486459277409</v>
      </c>
      <c r="Q944" s="10">
        <f t="shared" si="71"/>
        <v>1.0351018384316117</v>
      </c>
      <c r="R944" s="12">
        <f t="shared" si="72"/>
        <v>44.343627450980392</v>
      </c>
      <c r="S944" s="2">
        <f t="shared" si="73"/>
        <v>1.4206431500867776</v>
      </c>
      <c r="T944" s="18" t="str">
        <f t="shared" si="74"/>
        <v>🟡 Mid</v>
      </c>
    </row>
    <row r="945" spans="1:20" x14ac:dyDescent="0.3">
      <c r="A945" s="17">
        <v>944</v>
      </c>
      <c r="B945" s="3" t="s">
        <v>39</v>
      </c>
      <c r="C945" s="3" t="s">
        <v>40</v>
      </c>
      <c r="D945" s="3" t="s">
        <v>46</v>
      </c>
      <c r="E945" s="3" t="s">
        <v>56</v>
      </c>
      <c r="F945" s="3" t="s">
        <v>47</v>
      </c>
      <c r="G945" s="3" t="s">
        <v>57</v>
      </c>
      <c r="H945" s="3" t="s">
        <v>37</v>
      </c>
      <c r="I945" s="3" t="s">
        <v>38</v>
      </c>
      <c r="J945" s="6">
        <v>2024</v>
      </c>
      <c r="K945" s="3">
        <v>14243.97</v>
      </c>
      <c r="L945" s="3">
        <v>512236</v>
      </c>
      <c r="M945" s="3">
        <v>5534</v>
      </c>
      <c r="N945" s="3">
        <v>500</v>
      </c>
      <c r="O945" s="3">
        <v>13715.29</v>
      </c>
      <c r="P945" s="9">
        <f t="shared" si="70"/>
        <v>1.0803613959190685</v>
      </c>
      <c r="Q945" s="11">
        <f t="shared" si="71"/>
        <v>2.4783682688832673</v>
      </c>
      <c r="R945" s="13">
        <f t="shared" si="72"/>
        <v>27.430580000000003</v>
      </c>
      <c r="S945" s="4">
        <f t="shared" si="73"/>
        <v>1.0385467605861778</v>
      </c>
      <c r="T945" s="19" t="str">
        <f t="shared" si="74"/>
        <v>🔴 Low</v>
      </c>
    </row>
    <row r="946" spans="1:20" x14ac:dyDescent="0.3">
      <c r="A946" s="16">
        <v>945</v>
      </c>
      <c r="B946" s="1" t="s">
        <v>90</v>
      </c>
      <c r="C946" s="1" t="s">
        <v>21</v>
      </c>
      <c r="D946" s="1" t="s">
        <v>46</v>
      </c>
      <c r="E946" s="1" t="s">
        <v>42</v>
      </c>
      <c r="F946" s="1" t="s">
        <v>47</v>
      </c>
      <c r="G946" s="1" t="s">
        <v>43</v>
      </c>
      <c r="H946" s="1" t="s">
        <v>81</v>
      </c>
      <c r="I946" s="1" t="s">
        <v>34</v>
      </c>
      <c r="J946" s="5">
        <v>2023</v>
      </c>
      <c r="K946" s="1">
        <v>17851.310000000001</v>
      </c>
      <c r="L946" s="1">
        <v>433873</v>
      </c>
      <c r="M946" s="1">
        <v>6497</v>
      </c>
      <c r="N946" s="1">
        <v>361</v>
      </c>
      <c r="O946" s="1">
        <v>13092.15</v>
      </c>
      <c r="P946" s="8">
        <f t="shared" si="70"/>
        <v>1.4974428000820517</v>
      </c>
      <c r="Q946" s="10">
        <f t="shared" si="71"/>
        <v>2.0151069724488226</v>
      </c>
      <c r="R946" s="12">
        <f t="shared" si="72"/>
        <v>36.266343490304706</v>
      </c>
      <c r="S946" s="2">
        <f t="shared" si="73"/>
        <v>1.3635124864899961</v>
      </c>
      <c r="T946" s="18" t="str">
        <f t="shared" si="74"/>
        <v>🔴 Low</v>
      </c>
    </row>
    <row r="947" spans="1:20" x14ac:dyDescent="0.3">
      <c r="A947" s="17">
        <v>946</v>
      </c>
      <c r="B947" s="3" t="s">
        <v>66</v>
      </c>
      <c r="C947" s="3" t="s">
        <v>40</v>
      </c>
      <c r="D947" s="3" t="s">
        <v>41</v>
      </c>
      <c r="E947" s="3" t="s">
        <v>56</v>
      </c>
      <c r="F947" s="3" t="s">
        <v>47</v>
      </c>
      <c r="G947" s="3" t="s">
        <v>57</v>
      </c>
      <c r="H947" s="3" t="s">
        <v>52</v>
      </c>
      <c r="I947" s="3" t="s">
        <v>38</v>
      </c>
      <c r="J947" s="6">
        <v>2024</v>
      </c>
      <c r="K947" s="3">
        <v>14699.64</v>
      </c>
      <c r="L947" s="3">
        <v>361349</v>
      </c>
      <c r="M947" s="3">
        <v>6939</v>
      </c>
      <c r="N947" s="3">
        <v>769</v>
      </c>
      <c r="O947" s="3">
        <v>9101.49</v>
      </c>
      <c r="P947" s="9">
        <f t="shared" si="70"/>
        <v>1.9203041934528671</v>
      </c>
      <c r="Q947" s="11">
        <f t="shared" si="71"/>
        <v>1.311642888024211</v>
      </c>
      <c r="R947" s="13">
        <f t="shared" si="72"/>
        <v>11.835487646293888</v>
      </c>
      <c r="S947" s="4">
        <f t="shared" si="73"/>
        <v>1.6150806076807205</v>
      </c>
      <c r="T947" s="19" t="str">
        <f t="shared" si="74"/>
        <v>🟡 Mid</v>
      </c>
    </row>
    <row r="948" spans="1:20" x14ac:dyDescent="0.3">
      <c r="A948" s="16">
        <v>947</v>
      </c>
      <c r="B948" s="1" t="s">
        <v>80</v>
      </c>
      <c r="C948" s="1" t="s">
        <v>40</v>
      </c>
      <c r="D948" s="1" t="s">
        <v>46</v>
      </c>
      <c r="E948" s="1" t="s">
        <v>61</v>
      </c>
      <c r="F948" s="1" t="s">
        <v>24</v>
      </c>
      <c r="G948" s="1" t="s">
        <v>32</v>
      </c>
      <c r="H948" s="1" t="s">
        <v>83</v>
      </c>
      <c r="I948" s="1" t="s">
        <v>38</v>
      </c>
      <c r="J948" s="5">
        <v>2023</v>
      </c>
      <c r="K948" s="1">
        <v>18983.62</v>
      </c>
      <c r="L948" s="1">
        <v>648095</v>
      </c>
      <c r="M948" s="1">
        <v>9061</v>
      </c>
      <c r="N948" s="1">
        <v>655</v>
      </c>
      <c r="O948" s="1">
        <v>18966.86</v>
      </c>
      <c r="P948" s="8">
        <f t="shared" si="70"/>
        <v>1.3980975011379504</v>
      </c>
      <c r="Q948" s="10">
        <f t="shared" si="71"/>
        <v>2.0932413640878491</v>
      </c>
      <c r="R948" s="12">
        <f t="shared" si="72"/>
        <v>28.957038167938933</v>
      </c>
      <c r="S948" s="2">
        <f t="shared" si="73"/>
        <v>1.0008836465287347</v>
      </c>
      <c r="T948" s="18" t="str">
        <f t="shared" si="74"/>
        <v>🔴 Low</v>
      </c>
    </row>
    <row r="949" spans="1:20" x14ac:dyDescent="0.3">
      <c r="A949" s="17">
        <v>948</v>
      </c>
      <c r="B949" s="3" t="s">
        <v>35</v>
      </c>
      <c r="C949" s="3" t="s">
        <v>36</v>
      </c>
      <c r="D949" s="3" t="s">
        <v>22</v>
      </c>
      <c r="E949" s="3" t="s">
        <v>23</v>
      </c>
      <c r="F949" s="3" t="s">
        <v>47</v>
      </c>
      <c r="G949" s="3" t="s">
        <v>32</v>
      </c>
      <c r="H949" s="3" t="s">
        <v>58</v>
      </c>
      <c r="I949" s="3" t="s">
        <v>27</v>
      </c>
      <c r="J949" s="6">
        <v>2023</v>
      </c>
      <c r="K949" s="3">
        <v>10613.66</v>
      </c>
      <c r="L949" s="3">
        <v>384687</v>
      </c>
      <c r="M949" s="3">
        <v>10122</v>
      </c>
      <c r="N949" s="3">
        <v>131</v>
      </c>
      <c r="O949" s="3">
        <v>10760.04</v>
      </c>
      <c r="P949" s="9">
        <f t="shared" si="70"/>
        <v>2.6312300649619038</v>
      </c>
      <c r="Q949" s="11">
        <f t="shared" si="71"/>
        <v>1.0630349733254298</v>
      </c>
      <c r="R949" s="13">
        <f t="shared" si="72"/>
        <v>82.137709923664133</v>
      </c>
      <c r="S949" s="4">
        <f t="shared" si="73"/>
        <v>0.98639596135330343</v>
      </c>
      <c r="T949" s="19" t="str">
        <f t="shared" si="74"/>
        <v>🟡 Mid</v>
      </c>
    </row>
    <row r="950" spans="1:20" x14ac:dyDescent="0.3">
      <c r="A950" s="16">
        <v>949</v>
      </c>
      <c r="B950" s="1" t="s">
        <v>76</v>
      </c>
      <c r="C950" s="1" t="s">
        <v>21</v>
      </c>
      <c r="D950" s="1" t="s">
        <v>46</v>
      </c>
      <c r="E950" s="1" t="s">
        <v>23</v>
      </c>
      <c r="F950" s="1" t="s">
        <v>24</v>
      </c>
      <c r="G950" s="1" t="s">
        <v>43</v>
      </c>
      <c r="H950" s="1" t="s">
        <v>37</v>
      </c>
      <c r="I950" s="1" t="s">
        <v>38</v>
      </c>
      <c r="J950" s="5">
        <v>2024</v>
      </c>
      <c r="K950" s="1">
        <v>4704.49</v>
      </c>
      <c r="L950" s="1">
        <v>773956</v>
      </c>
      <c r="M950" s="1">
        <v>5422</v>
      </c>
      <c r="N950" s="1">
        <v>491</v>
      </c>
      <c r="O950" s="1">
        <v>4314.7299999999996</v>
      </c>
      <c r="P950" s="8">
        <f t="shared" si="70"/>
        <v>0.7005566207898124</v>
      </c>
      <c r="Q950" s="10">
        <f t="shared" si="71"/>
        <v>0.79578199926226478</v>
      </c>
      <c r="R950" s="12">
        <f t="shared" si="72"/>
        <v>8.78763747454175</v>
      </c>
      <c r="S950" s="2">
        <f t="shared" si="73"/>
        <v>1.0903324194097894</v>
      </c>
      <c r="T950" s="18" t="str">
        <f t="shared" si="74"/>
        <v>🔴 Low</v>
      </c>
    </row>
    <row r="951" spans="1:20" x14ac:dyDescent="0.3">
      <c r="A951" s="17">
        <v>950</v>
      </c>
      <c r="B951" s="3" t="s">
        <v>103</v>
      </c>
      <c r="C951" s="3" t="s">
        <v>21</v>
      </c>
      <c r="D951" s="3" t="s">
        <v>29</v>
      </c>
      <c r="E951" s="3" t="s">
        <v>56</v>
      </c>
      <c r="F951" s="3" t="s">
        <v>47</v>
      </c>
      <c r="G951" s="3" t="s">
        <v>57</v>
      </c>
      <c r="H951" s="3" t="s">
        <v>26</v>
      </c>
      <c r="I951" s="3" t="s">
        <v>27</v>
      </c>
      <c r="J951" s="6">
        <v>2024</v>
      </c>
      <c r="K951" s="3">
        <v>6378.6</v>
      </c>
      <c r="L951" s="3">
        <v>246177</v>
      </c>
      <c r="M951" s="3">
        <v>1927</v>
      </c>
      <c r="N951" s="3">
        <v>55</v>
      </c>
      <c r="O951" s="3">
        <v>5670.51</v>
      </c>
      <c r="P951" s="9">
        <f t="shared" si="70"/>
        <v>0.78277012068552299</v>
      </c>
      <c r="Q951" s="11">
        <f t="shared" si="71"/>
        <v>2.9426621691748833</v>
      </c>
      <c r="R951" s="13">
        <f t="shared" si="72"/>
        <v>103.10018181818182</v>
      </c>
      <c r="S951" s="4">
        <f t="shared" si="73"/>
        <v>1.1248723659776634</v>
      </c>
      <c r="T951" s="19" t="str">
        <f t="shared" si="74"/>
        <v>🔴 Low</v>
      </c>
    </row>
    <row r="952" spans="1:20" x14ac:dyDescent="0.3">
      <c r="A952" s="16">
        <v>951</v>
      </c>
      <c r="B952" s="1" t="s">
        <v>94</v>
      </c>
      <c r="C952" s="1" t="s">
        <v>36</v>
      </c>
      <c r="D952" s="1" t="s">
        <v>22</v>
      </c>
      <c r="E952" s="1" t="s">
        <v>56</v>
      </c>
      <c r="F952" s="1" t="s">
        <v>31</v>
      </c>
      <c r="G952" s="1" t="s">
        <v>50</v>
      </c>
      <c r="H952" s="1" t="s">
        <v>26</v>
      </c>
      <c r="I952" s="1" t="s">
        <v>27</v>
      </c>
      <c r="J952" s="5">
        <v>2024</v>
      </c>
      <c r="K952" s="1">
        <v>17308.68</v>
      </c>
      <c r="L952" s="1">
        <v>85244</v>
      </c>
      <c r="M952" s="1">
        <v>2996</v>
      </c>
      <c r="N952" s="1">
        <v>49</v>
      </c>
      <c r="O952" s="1">
        <v>13404.87</v>
      </c>
      <c r="P952" s="8">
        <f t="shared" si="70"/>
        <v>3.5146168645300548</v>
      </c>
      <c r="Q952" s="10">
        <f t="shared" si="71"/>
        <v>4.4742556742323103</v>
      </c>
      <c r="R952" s="12">
        <f t="shared" si="72"/>
        <v>273.56877551020409</v>
      </c>
      <c r="S952" s="2">
        <f t="shared" si="73"/>
        <v>1.2912232643807811</v>
      </c>
      <c r="T952" s="18" t="str">
        <f t="shared" si="74"/>
        <v>🟢 High</v>
      </c>
    </row>
    <row r="953" spans="1:20" x14ac:dyDescent="0.3">
      <c r="A953" s="17">
        <v>952</v>
      </c>
      <c r="B953" s="3" t="s">
        <v>65</v>
      </c>
      <c r="C953" s="3" t="s">
        <v>36</v>
      </c>
      <c r="D953" s="3" t="s">
        <v>22</v>
      </c>
      <c r="E953" s="3" t="s">
        <v>61</v>
      </c>
      <c r="F953" s="3" t="s">
        <v>47</v>
      </c>
      <c r="G953" s="3" t="s">
        <v>25</v>
      </c>
      <c r="H953" s="3" t="s">
        <v>79</v>
      </c>
      <c r="I953" s="3" t="s">
        <v>45</v>
      </c>
      <c r="J953" s="6">
        <v>2024</v>
      </c>
      <c r="K953" s="3">
        <v>15803.05</v>
      </c>
      <c r="L953" s="3">
        <v>450804</v>
      </c>
      <c r="M953" s="3">
        <v>14237</v>
      </c>
      <c r="N953" s="3">
        <v>180</v>
      </c>
      <c r="O953" s="3">
        <v>9637.35</v>
      </c>
      <c r="P953" s="9">
        <f t="shared" si="70"/>
        <v>3.1581352428106233</v>
      </c>
      <c r="Q953" s="11">
        <f t="shared" si="71"/>
        <v>0.6769228067710894</v>
      </c>
      <c r="R953" s="13">
        <f t="shared" si="72"/>
        <v>53.540833333333339</v>
      </c>
      <c r="S953" s="4">
        <f t="shared" si="73"/>
        <v>1.6397713064275967</v>
      </c>
      <c r="T953" s="19" t="str">
        <f t="shared" si="74"/>
        <v>🟢 High</v>
      </c>
    </row>
    <row r="954" spans="1:20" x14ac:dyDescent="0.3">
      <c r="A954" s="16">
        <v>953</v>
      </c>
      <c r="B954" s="1" t="s">
        <v>66</v>
      </c>
      <c r="C954" s="1" t="s">
        <v>40</v>
      </c>
      <c r="D954" s="1" t="s">
        <v>46</v>
      </c>
      <c r="E954" s="1" t="s">
        <v>42</v>
      </c>
      <c r="F954" s="1" t="s">
        <v>47</v>
      </c>
      <c r="G954" s="1" t="s">
        <v>32</v>
      </c>
      <c r="H954" s="1" t="s">
        <v>48</v>
      </c>
      <c r="I954" s="1" t="s">
        <v>34</v>
      </c>
      <c r="J954" s="5">
        <v>2024</v>
      </c>
      <c r="K954" s="1">
        <v>6179.15</v>
      </c>
      <c r="L954" s="1">
        <v>102582</v>
      </c>
      <c r="M954" s="1">
        <v>1732</v>
      </c>
      <c r="N954" s="1">
        <v>98</v>
      </c>
      <c r="O954" s="1">
        <v>4445.6400000000003</v>
      </c>
      <c r="P954" s="8">
        <f t="shared" si="70"/>
        <v>1.6884053732623656</v>
      </c>
      <c r="Q954" s="10">
        <f t="shared" si="71"/>
        <v>2.566766743648961</v>
      </c>
      <c r="R954" s="12">
        <f t="shared" si="72"/>
        <v>45.363673469387756</v>
      </c>
      <c r="S954" s="2">
        <f t="shared" si="73"/>
        <v>1.3899348575233261</v>
      </c>
      <c r="T954" s="18" t="str">
        <f t="shared" si="74"/>
        <v>🟡 Mid</v>
      </c>
    </row>
    <row r="955" spans="1:20" x14ac:dyDescent="0.3">
      <c r="A955" s="17">
        <v>954</v>
      </c>
      <c r="B955" s="3" t="s">
        <v>64</v>
      </c>
      <c r="C955" s="3" t="s">
        <v>21</v>
      </c>
      <c r="D955" s="3" t="s">
        <v>41</v>
      </c>
      <c r="E955" s="3" t="s">
        <v>42</v>
      </c>
      <c r="F955" s="3" t="s">
        <v>47</v>
      </c>
      <c r="G955" s="3" t="s">
        <v>50</v>
      </c>
      <c r="H955" s="3" t="s">
        <v>37</v>
      </c>
      <c r="I955" s="3" t="s">
        <v>38</v>
      </c>
      <c r="J955" s="6">
        <v>2023</v>
      </c>
      <c r="K955" s="3">
        <v>9319.27</v>
      </c>
      <c r="L955" s="3">
        <v>610950</v>
      </c>
      <c r="M955" s="3">
        <v>7348</v>
      </c>
      <c r="N955" s="3">
        <v>1014</v>
      </c>
      <c r="O955" s="3">
        <v>7146.82</v>
      </c>
      <c r="P955" s="9">
        <f t="shared" si="70"/>
        <v>1.2027170799574434</v>
      </c>
      <c r="Q955" s="11">
        <f t="shared" si="71"/>
        <v>0.97262112139357648</v>
      </c>
      <c r="R955" s="13">
        <f t="shared" si="72"/>
        <v>7.0481459566074944</v>
      </c>
      <c r="S955" s="4">
        <f t="shared" si="73"/>
        <v>1.3039743550278307</v>
      </c>
      <c r="T955" s="19" t="str">
        <f t="shared" si="74"/>
        <v>🔴 Low</v>
      </c>
    </row>
    <row r="956" spans="1:20" x14ac:dyDescent="0.3">
      <c r="A956" s="16">
        <v>955</v>
      </c>
      <c r="B956" s="1" t="s">
        <v>86</v>
      </c>
      <c r="C956" s="1" t="s">
        <v>36</v>
      </c>
      <c r="D956" s="1" t="s">
        <v>13</v>
      </c>
      <c r="E956" s="1" t="s">
        <v>56</v>
      </c>
      <c r="F956" s="1" t="s">
        <v>31</v>
      </c>
      <c r="G956" s="1" t="s">
        <v>57</v>
      </c>
      <c r="H956" s="1" t="s">
        <v>44</v>
      </c>
      <c r="I956" s="1" t="s">
        <v>45</v>
      </c>
      <c r="J956" s="5">
        <v>2024</v>
      </c>
      <c r="K956" s="1">
        <v>6982.49</v>
      </c>
      <c r="L956" s="1">
        <v>665512</v>
      </c>
      <c r="M956" s="1">
        <v>20107</v>
      </c>
      <c r="N956" s="1">
        <v>1243</v>
      </c>
      <c r="O956" s="1">
        <v>6725.73</v>
      </c>
      <c r="P956" s="8">
        <f t="shared" si="70"/>
        <v>3.0212828619168399</v>
      </c>
      <c r="Q956" s="10">
        <f t="shared" si="71"/>
        <v>0.33449694136370417</v>
      </c>
      <c r="R956" s="12">
        <f t="shared" si="72"/>
        <v>5.4108849557522118</v>
      </c>
      <c r="S956" s="2">
        <f t="shared" si="73"/>
        <v>1.0381757816623622</v>
      </c>
      <c r="T956" s="18" t="str">
        <f t="shared" si="74"/>
        <v>🟢 High</v>
      </c>
    </row>
    <row r="957" spans="1:20" x14ac:dyDescent="0.3">
      <c r="A957" s="17">
        <v>956</v>
      </c>
      <c r="B957" s="3" t="s">
        <v>84</v>
      </c>
      <c r="C957" s="3" t="s">
        <v>40</v>
      </c>
      <c r="D957" s="3" t="s">
        <v>22</v>
      </c>
      <c r="E957" s="3" t="s">
        <v>30</v>
      </c>
      <c r="F957" s="3" t="s">
        <v>47</v>
      </c>
      <c r="G957" s="3" t="s">
        <v>32</v>
      </c>
      <c r="H957" s="3" t="s">
        <v>48</v>
      </c>
      <c r="I957" s="3" t="s">
        <v>34</v>
      </c>
      <c r="J957" s="6">
        <v>2023</v>
      </c>
      <c r="K957" s="3">
        <v>1649.19</v>
      </c>
      <c r="L957" s="3">
        <v>522386</v>
      </c>
      <c r="M957" s="3">
        <v>8181</v>
      </c>
      <c r="N957" s="3">
        <v>71</v>
      </c>
      <c r="O957" s="3">
        <v>1205.25</v>
      </c>
      <c r="P957" s="9">
        <f t="shared" si="70"/>
        <v>1.5660833176999382</v>
      </c>
      <c r="Q957" s="11">
        <f t="shared" si="71"/>
        <v>0.14732306563989733</v>
      </c>
      <c r="R957" s="13">
        <f t="shared" si="72"/>
        <v>16.975352112676056</v>
      </c>
      <c r="S957" s="4">
        <f t="shared" si="73"/>
        <v>1.3683385189794648</v>
      </c>
      <c r="T957" s="19" t="str">
        <f t="shared" si="74"/>
        <v>🟡 Mid</v>
      </c>
    </row>
    <row r="958" spans="1:20" x14ac:dyDescent="0.3">
      <c r="A958" s="16">
        <v>957</v>
      </c>
      <c r="B958" s="1" t="s">
        <v>92</v>
      </c>
      <c r="C958" s="1" t="s">
        <v>40</v>
      </c>
      <c r="D958" s="1" t="s">
        <v>22</v>
      </c>
      <c r="E958" s="1" t="s">
        <v>23</v>
      </c>
      <c r="F958" s="1" t="s">
        <v>31</v>
      </c>
      <c r="G958" s="1" t="s">
        <v>32</v>
      </c>
      <c r="H958" s="1" t="s">
        <v>79</v>
      </c>
      <c r="I958" s="1" t="s">
        <v>45</v>
      </c>
      <c r="J958" s="5">
        <v>2024</v>
      </c>
      <c r="K958" s="1">
        <v>17492.84</v>
      </c>
      <c r="L958" s="1">
        <v>286170</v>
      </c>
      <c r="M958" s="1">
        <v>3700</v>
      </c>
      <c r="N958" s="1">
        <v>62</v>
      </c>
      <c r="O958" s="1">
        <v>14504.14</v>
      </c>
      <c r="P958" s="8">
        <f t="shared" si="70"/>
        <v>1.2929377642659956</v>
      </c>
      <c r="Q958" s="10">
        <f t="shared" si="71"/>
        <v>3.9200378378378375</v>
      </c>
      <c r="R958" s="12">
        <f t="shared" si="72"/>
        <v>233.93774193548387</v>
      </c>
      <c r="S958" s="2">
        <f t="shared" si="73"/>
        <v>1.2060584081510521</v>
      </c>
      <c r="T958" s="18" t="str">
        <f t="shared" si="74"/>
        <v>🔴 Low</v>
      </c>
    </row>
    <row r="959" spans="1:20" x14ac:dyDescent="0.3">
      <c r="A959" s="17">
        <v>958</v>
      </c>
      <c r="B959" s="3" t="s">
        <v>84</v>
      </c>
      <c r="C959" s="3" t="s">
        <v>40</v>
      </c>
      <c r="D959" s="3" t="s">
        <v>13</v>
      </c>
      <c r="E959" s="3" t="s">
        <v>56</v>
      </c>
      <c r="F959" s="3" t="s">
        <v>31</v>
      </c>
      <c r="G959" s="3" t="s">
        <v>50</v>
      </c>
      <c r="H959" s="3" t="s">
        <v>81</v>
      </c>
      <c r="I959" s="3" t="s">
        <v>34</v>
      </c>
      <c r="J959" s="6">
        <v>2023</v>
      </c>
      <c r="K959" s="3">
        <v>18463.990000000002</v>
      </c>
      <c r="L959" s="3">
        <v>451380</v>
      </c>
      <c r="M959" s="3">
        <v>3698</v>
      </c>
      <c r="N959" s="3">
        <v>365</v>
      </c>
      <c r="O959" s="3">
        <v>13991.79</v>
      </c>
      <c r="P959" s="9">
        <f t="shared" si="70"/>
        <v>0.81926536399486016</v>
      </c>
      <c r="Q959" s="11">
        <f t="shared" si="71"/>
        <v>3.7836100594916173</v>
      </c>
      <c r="R959" s="13">
        <f t="shared" si="72"/>
        <v>38.333671232876718</v>
      </c>
      <c r="S959" s="4">
        <f t="shared" si="73"/>
        <v>1.3196302974815945</v>
      </c>
      <c r="T959" s="19" t="str">
        <f t="shared" si="74"/>
        <v>🔴 Low</v>
      </c>
    </row>
    <row r="960" spans="1:20" x14ac:dyDescent="0.3">
      <c r="A960" s="16">
        <v>959</v>
      </c>
      <c r="B960" s="1" t="s">
        <v>55</v>
      </c>
      <c r="C960" s="1" t="s">
        <v>36</v>
      </c>
      <c r="D960" s="1" t="s">
        <v>29</v>
      </c>
      <c r="E960" s="1" t="s">
        <v>42</v>
      </c>
      <c r="F960" s="1" t="s">
        <v>24</v>
      </c>
      <c r="G960" s="1" t="s">
        <v>25</v>
      </c>
      <c r="H960" s="1" t="s">
        <v>48</v>
      </c>
      <c r="I960" s="1" t="s">
        <v>34</v>
      </c>
      <c r="J960" s="5">
        <v>2023</v>
      </c>
      <c r="K960" s="1">
        <v>1261.71</v>
      </c>
      <c r="L960" s="1">
        <v>449787</v>
      </c>
      <c r="M960" s="1">
        <v>9440</v>
      </c>
      <c r="N960" s="1">
        <v>242</v>
      </c>
      <c r="O960" s="1">
        <v>831.14</v>
      </c>
      <c r="P960" s="8">
        <f t="shared" si="70"/>
        <v>2.0987711961439524</v>
      </c>
      <c r="Q960" s="10">
        <f t="shared" si="71"/>
        <v>8.8044491525423721E-2</v>
      </c>
      <c r="R960" s="12">
        <f t="shared" si="72"/>
        <v>3.4344628099173553</v>
      </c>
      <c r="S960" s="2">
        <f t="shared" si="73"/>
        <v>1.5180475010226917</v>
      </c>
      <c r="T960" s="18" t="str">
        <f t="shared" si="74"/>
        <v>🟡 Mid</v>
      </c>
    </row>
    <row r="961" spans="1:20" x14ac:dyDescent="0.3">
      <c r="A961" s="17">
        <v>960</v>
      </c>
      <c r="B961" s="3" t="s">
        <v>76</v>
      </c>
      <c r="C961" s="3" t="s">
        <v>21</v>
      </c>
      <c r="D961" s="3" t="s">
        <v>41</v>
      </c>
      <c r="E961" s="3" t="s">
        <v>42</v>
      </c>
      <c r="F961" s="3" t="s">
        <v>47</v>
      </c>
      <c r="G961" s="3" t="s">
        <v>57</v>
      </c>
      <c r="H961" s="3" t="s">
        <v>33</v>
      </c>
      <c r="I961" s="3" t="s">
        <v>34</v>
      </c>
      <c r="J961" s="6">
        <v>2024</v>
      </c>
      <c r="K961" s="3">
        <v>14538.89</v>
      </c>
      <c r="L961" s="3">
        <v>714553</v>
      </c>
      <c r="M961" s="3">
        <v>5153</v>
      </c>
      <c r="N961" s="3">
        <v>420</v>
      </c>
      <c r="O961" s="3">
        <v>10691.93</v>
      </c>
      <c r="P961" s="9">
        <f t="shared" si="70"/>
        <v>0.72115014561551072</v>
      </c>
      <c r="Q961" s="11">
        <f t="shared" si="71"/>
        <v>2.074894236367165</v>
      </c>
      <c r="R961" s="13">
        <f t="shared" si="72"/>
        <v>25.45697619047619</v>
      </c>
      <c r="S961" s="4">
        <f t="shared" si="73"/>
        <v>1.3598003353931423</v>
      </c>
      <c r="T961" s="19" t="str">
        <f t="shared" si="74"/>
        <v>🔴 Low</v>
      </c>
    </row>
    <row r="962" spans="1:20" x14ac:dyDescent="0.3">
      <c r="A962" s="16">
        <v>961</v>
      </c>
      <c r="B962" s="1" t="s">
        <v>92</v>
      </c>
      <c r="C962" s="1" t="s">
        <v>40</v>
      </c>
      <c r="D962" s="1" t="s">
        <v>46</v>
      </c>
      <c r="E962" s="1" t="s">
        <v>23</v>
      </c>
      <c r="F962" s="1" t="s">
        <v>31</v>
      </c>
      <c r="G962" s="1" t="s">
        <v>25</v>
      </c>
      <c r="H962" s="1" t="s">
        <v>79</v>
      </c>
      <c r="I962" s="1" t="s">
        <v>45</v>
      </c>
      <c r="J962" s="5">
        <v>2024</v>
      </c>
      <c r="K962" s="1">
        <v>10627.91</v>
      </c>
      <c r="L962" s="1">
        <v>268443</v>
      </c>
      <c r="M962" s="1">
        <v>3386</v>
      </c>
      <c r="N962" s="1">
        <v>202</v>
      </c>
      <c r="O962" s="1">
        <v>9710.09</v>
      </c>
      <c r="P962" s="8">
        <f t="shared" ref="P962:P1001" si="75">IFERROR(M962/L962*100,0)</f>
        <v>1.2613478466564596</v>
      </c>
      <c r="Q962" s="10">
        <f t="shared" ref="Q962:Q1001" si="76">IFERROR(O962/M962,0)</f>
        <v>2.867717070289427</v>
      </c>
      <c r="R962" s="12">
        <f t="shared" ref="R962:R1001" si="77">IFERROR(O962/N962,"-")</f>
        <v>48.069752475247526</v>
      </c>
      <c r="S962" s="2">
        <f t="shared" ref="S962:S1001" si="78">IFERROR(K962/O962,0)</f>
        <v>1.0945222958798528</v>
      </c>
      <c r="T962" s="18" t="str">
        <f t="shared" ref="T962:T1001" si="79">IF(P962&gt;=3,"🟢 High",IF(P962&gt;=1.5,"🟡 Mid","🔴 Low"))</f>
        <v>🔴 Low</v>
      </c>
    </row>
    <row r="963" spans="1:20" x14ac:dyDescent="0.3">
      <c r="A963" s="17">
        <v>962</v>
      </c>
      <c r="B963" s="3" t="s">
        <v>55</v>
      </c>
      <c r="C963" s="3" t="s">
        <v>36</v>
      </c>
      <c r="D963" s="3" t="s">
        <v>29</v>
      </c>
      <c r="E963" s="3" t="s">
        <v>56</v>
      </c>
      <c r="F963" s="3" t="s">
        <v>24</v>
      </c>
      <c r="G963" s="3" t="s">
        <v>43</v>
      </c>
      <c r="H963" s="3" t="s">
        <v>33</v>
      </c>
      <c r="I963" s="3" t="s">
        <v>34</v>
      </c>
      <c r="J963" s="6">
        <v>2023</v>
      </c>
      <c r="K963" s="3">
        <v>3431.81</v>
      </c>
      <c r="L963" s="3">
        <v>75304</v>
      </c>
      <c r="M963" s="3">
        <v>2153</v>
      </c>
      <c r="N963" s="3">
        <v>85</v>
      </c>
      <c r="O963" s="3">
        <v>2067.16</v>
      </c>
      <c r="P963" s="9">
        <f t="shared" si="75"/>
        <v>2.8590778710294273</v>
      </c>
      <c r="Q963" s="11">
        <f t="shared" si="76"/>
        <v>0.96013005109150018</v>
      </c>
      <c r="R963" s="13">
        <f t="shared" si="77"/>
        <v>24.319529411764705</v>
      </c>
      <c r="S963" s="4">
        <f t="shared" si="78"/>
        <v>1.6601569302811587</v>
      </c>
      <c r="T963" s="19" t="str">
        <f t="shared" si="79"/>
        <v>🟡 Mid</v>
      </c>
    </row>
    <row r="964" spans="1:20" x14ac:dyDescent="0.3">
      <c r="A964" s="16">
        <v>963</v>
      </c>
      <c r="B964" s="1" t="s">
        <v>64</v>
      </c>
      <c r="C964" s="1" t="s">
        <v>21</v>
      </c>
      <c r="D964" s="1" t="s">
        <v>46</v>
      </c>
      <c r="E964" s="1" t="s">
        <v>42</v>
      </c>
      <c r="F964" s="1" t="s">
        <v>31</v>
      </c>
      <c r="G964" s="1" t="s">
        <v>50</v>
      </c>
      <c r="H964" s="1" t="s">
        <v>37</v>
      </c>
      <c r="I964" s="1" t="s">
        <v>38</v>
      </c>
      <c r="J964" s="5">
        <v>2023</v>
      </c>
      <c r="K964" s="1">
        <v>1691.6</v>
      </c>
      <c r="L964" s="1">
        <v>496461</v>
      </c>
      <c r="M964" s="1">
        <v>2710</v>
      </c>
      <c r="N964" s="1">
        <v>211</v>
      </c>
      <c r="O964" s="1">
        <v>1642.55</v>
      </c>
      <c r="P964" s="8">
        <f t="shared" si="75"/>
        <v>0.5458636227216237</v>
      </c>
      <c r="Q964" s="10">
        <f t="shared" si="76"/>
        <v>0.60610701107011067</v>
      </c>
      <c r="R964" s="12">
        <f t="shared" si="77"/>
        <v>7.784597156398104</v>
      </c>
      <c r="S964" s="2">
        <f t="shared" si="78"/>
        <v>1.0298621046543484</v>
      </c>
      <c r="T964" s="18" t="str">
        <f t="shared" si="79"/>
        <v>🔴 Low</v>
      </c>
    </row>
    <row r="965" spans="1:20" x14ac:dyDescent="0.3">
      <c r="A965" s="17">
        <v>964</v>
      </c>
      <c r="B965" s="3" t="s">
        <v>60</v>
      </c>
      <c r="C965" s="3" t="s">
        <v>40</v>
      </c>
      <c r="D965" s="3" t="s">
        <v>46</v>
      </c>
      <c r="E965" s="3" t="s">
        <v>23</v>
      </c>
      <c r="F965" s="3" t="s">
        <v>47</v>
      </c>
      <c r="G965" s="3" t="s">
        <v>50</v>
      </c>
      <c r="H965" s="3" t="s">
        <v>79</v>
      </c>
      <c r="I965" s="3" t="s">
        <v>45</v>
      </c>
      <c r="J965" s="6">
        <v>2024</v>
      </c>
      <c r="K965" s="3">
        <v>7661.86</v>
      </c>
      <c r="L965" s="3">
        <v>427857</v>
      </c>
      <c r="M965" s="3">
        <v>6400</v>
      </c>
      <c r="N965" s="3">
        <v>614</v>
      </c>
      <c r="O965" s="3">
        <v>6402.76</v>
      </c>
      <c r="P965" s="9">
        <f t="shared" si="75"/>
        <v>1.4958268767368537</v>
      </c>
      <c r="Q965" s="11">
        <f t="shared" si="76"/>
        <v>1.0004312500000001</v>
      </c>
      <c r="R965" s="13">
        <f t="shared" si="77"/>
        <v>10.427947882736158</v>
      </c>
      <c r="S965" s="4">
        <f t="shared" si="78"/>
        <v>1.1966495698729922</v>
      </c>
      <c r="T965" s="19" t="str">
        <f t="shared" si="79"/>
        <v>🔴 Low</v>
      </c>
    </row>
    <row r="966" spans="1:20" x14ac:dyDescent="0.3">
      <c r="A966" s="16">
        <v>965</v>
      </c>
      <c r="B966" s="1" t="s">
        <v>64</v>
      </c>
      <c r="C966" s="1" t="s">
        <v>21</v>
      </c>
      <c r="D966" s="1" t="s">
        <v>22</v>
      </c>
      <c r="E966" s="1" t="s">
        <v>61</v>
      </c>
      <c r="F966" s="1" t="s">
        <v>24</v>
      </c>
      <c r="G966" s="1" t="s">
        <v>57</v>
      </c>
      <c r="H966" s="1" t="s">
        <v>54</v>
      </c>
      <c r="I966" s="1" t="s">
        <v>45</v>
      </c>
      <c r="J966" s="5">
        <v>2023</v>
      </c>
      <c r="K966" s="1">
        <v>5959.72</v>
      </c>
      <c r="L966" s="1">
        <v>280710</v>
      </c>
      <c r="M966" s="1">
        <v>1292</v>
      </c>
      <c r="N966" s="1">
        <v>16</v>
      </c>
      <c r="O966" s="1">
        <v>5189.8900000000003</v>
      </c>
      <c r="P966" s="8">
        <f t="shared" si="75"/>
        <v>0.46026147981903032</v>
      </c>
      <c r="Q966" s="10">
        <f t="shared" si="76"/>
        <v>4.0169427244582048</v>
      </c>
      <c r="R966" s="12">
        <f t="shared" si="77"/>
        <v>324.36812500000002</v>
      </c>
      <c r="S966" s="2">
        <f t="shared" si="78"/>
        <v>1.1483326236201539</v>
      </c>
      <c r="T966" s="18" t="str">
        <f t="shared" si="79"/>
        <v>🔴 Low</v>
      </c>
    </row>
    <row r="967" spans="1:20" x14ac:dyDescent="0.3">
      <c r="A967" s="17">
        <v>966</v>
      </c>
      <c r="B967" s="3" t="s">
        <v>96</v>
      </c>
      <c r="C967" s="3" t="s">
        <v>40</v>
      </c>
      <c r="D967" s="3" t="s">
        <v>29</v>
      </c>
      <c r="E967" s="3" t="s">
        <v>61</v>
      </c>
      <c r="F967" s="3" t="s">
        <v>31</v>
      </c>
      <c r="G967" s="3" t="s">
        <v>43</v>
      </c>
      <c r="H967" s="3" t="s">
        <v>54</v>
      </c>
      <c r="I967" s="3" t="s">
        <v>45</v>
      </c>
      <c r="J967" s="6">
        <v>2024</v>
      </c>
      <c r="K967" s="3">
        <v>4581.4799999999996</v>
      </c>
      <c r="L967" s="3">
        <v>7800</v>
      </c>
      <c r="M967" s="3">
        <v>116</v>
      </c>
      <c r="N967" s="3">
        <v>3</v>
      </c>
      <c r="O967" s="3">
        <v>4652.1099999999997</v>
      </c>
      <c r="P967" s="9">
        <f t="shared" si="75"/>
        <v>1.4871794871794872</v>
      </c>
      <c r="Q967" s="11">
        <f t="shared" si="76"/>
        <v>40.104396551724136</v>
      </c>
      <c r="R967" s="13">
        <f t="shared" si="77"/>
        <v>1550.7033333333331</v>
      </c>
      <c r="S967" s="4">
        <f t="shared" si="78"/>
        <v>0.98481764188722964</v>
      </c>
      <c r="T967" s="19" t="str">
        <f t="shared" si="79"/>
        <v>🔴 Low</v>
      </c>
    </row>
    <row r="968" spans="1:20" x14ac:dyDescent="0.3">
      <c r="A968" s="16">
        <v>967</v>
      </c>
      <c r="B968" s="1" t="s">
        <v>55</v>
      </c>
      <c r="C968" s="1" t="s">
        <v>36</v>
      </c>
      <c r="D968" s="1" t="s">
        <v>46</v>
      </c>
      <c r="E968" s="1" t="s">
        <v>30</v>
      </c>
      <c r="F968" s="1" t="s">
        <v>47</v>
      </c>
      <c r="G968" s="1" t="s">
        <v>57</v>
      </c>
      <c r="H968" s="1" t="s">
        <v>37</v>
      </c>
      <c r="I968" s="1" t="s">
        <v>38</v>
      </c>
      <c r="J968" s="5">
        <v>2023</v>
      </c>
      <c r="K968" s="1">
        <v>17971.09</v>
      </c>
      <c r="L968" s="1">
        <v>59724</v>
      </c>
      <c r="M968" s="1">
        <v>2025</v>
      </c>
      <c r="N968" s="1">
        <v>132</v>
      </c>
      <c r="O968" s="1">
        <v>14342.9</v>
      </c>
      <c r="P968" s="8">
        <f t="shared" si="75"/>
        <v>3.3905967450271248</v>
      </c>
      <c r="Q968" s="10">
        <f t="shared" si="76"/>
        <v>7.0829135802469132</v>
      </c>
      <c r="R968" s="12">
        <f t="shared" si="77"/>
        <v>108.65833333333333</v>
      </c>
      <c r="S968" s="2">
        <f t="shared" si="78"/>
        <v>1.2529606983246067</v>
      </c>
      <c r="T968" s="18" t="str">
        <f t="shared" si="79"/>
        <v>🟢 High</v>
      </c>
    </row>
    <row r="969" spans="1:20" x14ac:dyDescent="0.3">
      <c r="A969" s="17">
        <v>968</v>
      </c>
      <c r="B969" s="3" t="s">
        <v>39</v>
      </c>
      <c r="C969" s="3" t="s">
        <v>40</v>
      </c>
      <c r="D969" s="3" t="s">
        <v>46</v>
      </c>
      <c r="E969" s="3" t="s">
        <v>61</v>
      </c>
      <c r="F969" s="3" t="s">
        <v>47</v>
      </c>
      <c r="G969" s="3" t="s">
        <v>50</v>
      </c>
      <c r="H969" s="3" t="s">
        <v>33</v>
      </c>
      <c r="I969" s="3" t="s">
        <v>34</v>
      </c>
      <c r="J969" s="6">
        <v>2024</v>
      </c>
      <c r="K969" s="3">
        <v>7422.34</v>
      </c>
      <c r="L969" s="3">
        <v>552341</v>
      </c>
      <c r="M969" s="3">
        <v>12637</v>
      </c>
      <c r="N969" s="3">
        <v>745</v>
      </c>
      <c r="O969" s="3">
        <v>4697.18</v>
      </c>
      <c r="P969" s="9">
        <f t="shared" si="75"/>
        <v>2.2878982367776426</v>
      </c>
      <c r="Q969" s="11">
        <f t="shared" si="76"/>
        <v>0.3717005618422094</v>
      </c>
      <c r="R969" s="13">
        <f t="shared" si="77"/>
        <v>6.3049395973154363</v>
      </c>
      <c r="S969" s="4">
        <f t="shared" si="78"/>
        <v>1.5801693782226782</v>
      </c>
      <c r="T969" s="19" t="str">
        <f t="shared" si="79"/>
        <v>🟡 Mid</v>
      </c>
    </row>
    <row r="970" spans="1:20" x14ac:dyDescent="0.3">
      <c r="A970" s="16">
        <v>969</v>
      </c>
      <c r="B970" s="1" t="s">
        <v>63</v>
      </c>
      <c r="C970" s="1" t="s">
        <v>21</v>
      </c>
      <c r="D970" s="1" t="s">
        <v>46</v>
      </c>
      <c r="E970" s="1" t="s">
        <v>23</v>
      </c>
      <c r="F970" s="1" t="s">
        <v>31</v>
      </c>
      <c r="G970" s="1" t="s">
        <v>25</v>
      </c>
      <c r="H970" s="1" t="s">
        <v>33</v>
      </c>
      <c r="I970" s="1" t="s">
        <v>34</v>
      </c>
      <c r="J970" s="5">
        <v>2024</v>
      </c>
      <c r="K970" s="1">
        <v>10056.82</v>
      </c>
      <c r="L970" s="1">
        <v>267709</v>
      </c>
      <c r="M970" s="1">
        <v>1198</v>
      </c>
      <c r="N970" s="1">
        <v>79</v>
      </c>
      <c r="O970" s="1">
        <v>7504.76</v>
      </c>
      <c r="P970" s="8">
        <f t="shared" si="75"/>
        <v>0.44750083112633493</v>
      </c>
      <c r="Q970" s="10">
        <f t="shared" si="76"/>
        <v>6.2644073455759601</v>
      </c>
      <c r="R970" s="12">
        <f t="shared" si="77"/>
        <v>94.996962025316463</v>
      </c>
      <c r="S970" s="2">
        <f t="shared" si="78"/>
        <v>1.3400588426545286</v>
      </c>
      <c r="T970" s="18" t="str">
        <f t="shared" si="79"/>
        <v>🔴 Low</v>
      </c>
    </row>
    <row r="971" spans="1:20" x14ac:dyDescent="0.3">
      <c r="A971" s="17">
        <v>970</v>
      </c>
      <c r="B971" s="3" t="s">
        <v>99</v>
      </c>
      <c r="C971" s="3" t="s">
        <v>36</v>
      </c>
      <c r="D971" s="3" t="s">
        <v>41</v>
      </c>
      <c r="E971" s="3" t="s">
        <v>23</v>
      </c>
      <c r="F971" s="3" t="s">
        <v>31</v>
      </c>
      <c r="G971" s="3" t="s">
        <v>50</v>
      </c>
      <c r="H971" s="3" t="s">
        <v>83</v>
      </c>
      <c r="I971" s="3" t="s">
        <v>38</v>
      </c>
      <c r="J971" s="6">
        <v>2023</v>
      </c>
      <c r="K971" s="3">
        <v>7957.92</v>
      </c>
      <c r="L971" s="3">
        <v>192700</v>
      </c>
      <c r="M971" s="3">
        <v>4264</v>
      </c>
      <c r="N971" s="3">
        <v>574</v>
      </c>
      <c r="O971" s="3">
        <v>8101.83</v>
      </c>
      <c r="P971" s="9">
        <f t="shared" si="75"/>
        <v>2.2127659574468086</v>
      </c>
      <c r="Q971" s="11">
        <f t="shared" si="76"/>
        <v>1.9000539399624765</v>
      </c>
      <c r="R971" s="13">
        <f t="shared" si="77"/>
        <v>14.114686411149826</v>
      </c>
      <c r="S971" s="4">
        <f t="shared" si="78"/>
        <v>0.98223734637729998</v>
      </c>
      <c r="T971" s="19" t="str">
        <f t="shared" si="79"/>
        <v>🟡 Mid</v>
      </c>
    </row>
    <row r="972" spans="1:20" x14ac:dyDescent="0.3">
      <c r="A972" s="16">
        <v>971</v>
      </c>
      <c r="B972" s="1" t="s">
        <v>86</v>
      </c>
      <c r="C972" s="1" t="s">
        <v>36</v>
      </c>
      <c r="D972" s="1" t="s">
        <v>13</v>
      </c>
      <c r="E972" s="1" t="s">
        <v>61</v>
      </c>
      <c r="F972" s="1" t="s">
        <v>24</v>
      </c>
      <c r="G972" s="1" t="s">
        <v>57</v>
      </c>
      <c r="H972" s="1" t="s">
        <v>79</v>
      </c>
      <c r="I972" s="1" t="s">
        <v>45</v>
      </c>
      <c r="J972" s="5">
        <v>2024</v>
      </c>
      <c r="K972" s="1">
        <v>6904.81</v>
      </c>
      <c r="L972" s="1">
        <v>391785</v>
      </c>
      <c r="M972" s="1">
        <v>12969</v>
      </c>
      <c r="N972" s="1">
        <v>660</v>
      </c>
      <c r="O972" s="1">
        <v>4934.67</v>
      </c>
      <c r="P972" s="8">
        <f t="shared" si="75"/>
        <v>3.3102339293234815</v>
      </c>
      <c r="Q972" s="10">
        <f t="shared" si="76"/>
        <v>0.38049733981031691</v>
      </c>
      <c r="R972" s="12">
        <f t="shared" si="77"/>
        <v>7.4767727272727278</v>
      </c>
      <c r="S972" s="2">
        <f t="shared" si="78"/>
        <v>1.3992445290161248</v>
      </c>
      <c r="T972" s="18" t="str">
        <f t="shared" si="79"/>
        <v>🟢 High</v>
      </c>
    </row>
    <row r="973" spans="1:20" x14ac:dyDescent="0.3">
      <c r="A973" s="17">
        <v>972</v>
      </c>
      <c r="B973" s="3" t="s">
        <v>73</v>
      </c>
      <c r="C973" s="3" t="s">
        <v>21</v>
      </c>
      <c r="D973" s="3" t="s">
        <v>41</v>
      </c>
      <c r="E973" s="3" t="s">
        <v>56</v>
      </c>
      <c r="F973" s="3" t="s">
        <v>24</v>
      </c>
      <c r="G973" s="3" t="s">
        <v>43</v>
      </c>
      <c r="H973" s="3" t="s">
        <v>52</v>
      </c>
      <c r="I973" s="3" t="s">
        <v>38</v>
      </c>
      <c r="J973" s="6">
        <v>2023</v>
      </c>
      <c r="K973" s="3">
        <v>19437.240000000002</v>
      </c>
      <c r="L973" s="3">
        <v>36904</v>
      </c>
      <c r="M973" s="3">
        <v>148</v>
      </c>
      <c r="N973" s="3">
        <v>19</v>
      </c>
      <c r="O973" s="3">
        <v>19234.73</v>
      </c>
      <c r="P973" s="9">
        <f t="shared" si="75"/>
        <v>0.40104053761109903</v>
      </c>
      <c r="Q973" s="11">
        <f t="shared" si="76"/>
        <v>129.96439189189189</v>
      </c>
      <c r="R973" s="13">
        <f t="shared" si="77"/>
        <v>1012.3542105263158</v>
      </c>
      <c r="S973" s="4">
        <f t="shared" si="78"/>
        <v>1.0105283515807086</v>
      </c>
      <c r="T973" s="19" t="str">
        <f t="shared" si="79"/>
        <v>🔴 Low</v>
      </c>
    </row>
    <row r="974" spans="1:20" x14ac:dyDescent="0.3">
      <c r="A974" s="16">
        <v>973</v>
      </c>
      <c r="B974" s="1" t="s">
        <v>74</v>
      </c>
      <c r="C974" s="1" t="s">
        <v>21</v>
      </c>
      <c r="D974" s="1" t="s">
        <v>41</v>
      </c>
      <c r="E974" s="1" t="s">
        <v>30</v>
      </c>
      <c r="F974" s="1" t="s">
        <v>47</v>
      </c>
      <c r="G974" s="1" t="s">
        <v>32</v>
      </c>
      <c r="H974" s="1" t="s">
        <v>58</v>
      </c>
      <c r="I974" s="1" t="s">
        <v>27</v>
      </c>
      <c r="J974" s="5">
        <v>2023</v>
      </c>
      <c r="K974" s="1">
        <v>7705.91</v>
      </c>
      <c r="L974" s="1">
        <v>647693</v>
      </c>
      <c r="M974" s="1">
        <v>6004</v>
      </c>
      <c r="N974" s="1">
        <v>713</v>
      </c>
      <c r="O974" s="1">
        <v>7442.24</v>
      </c>
      <c r="P974" s="8">
        <f t="shared" si="75"/>
        <v>0.92698238208533978</v>
      </c>
      <c r="Q974" s="10">
        <f t="shared" si="76"/>
        <v>1.2395469686875416</v>
      </c>
      <c r="R974" s="12">
        <f t="shared" si="77"/>
        <v>10.437924263674613</v>
      </c>
      <c r="S974" s="2">
        <f t="shared" si="78"/>
        <v>1.0354288493786816</v>
      </c>
      <c r="T974" s="18" t="str">
        <f t="shared" si="79"/>
        <v>🔴 Low</v>
      </c>
    </row>
    <row r="975" spans="1:20" x14ac:dyDescent="0.3">
      <c r="A975" s="17">
        <v>974</v>
      </c>
      <c r="B975" s="3" t="s">
        <v>88</v>
      </c>
      <c r="C975" s="3" t="s">
        <v>36</v>
      </c>
      <c r="D975" s="3" t="s">
        <v>41</v>
      </c>
      <c r="E975" s="3" t="s">
        <v>42</v>
      </c>
      <c r="F975" s="3" t="s">
        <v>24</v>
      </c>
      <c r="G975" s="3" t="s">
        <v>50</v>
      </c>
      <c r="H975" s="3" t="s">
        <v>44</v>
      </c>
      <c r="I975" s="3" t="s">
        <v>45</v>
      </c>
      <c r="J975" s="6">
        <v>2023</v>
      </c>
      <c r="K975" s="3">
        <v>6627.61</v>
      </c>
      <c r="L975" s="3">
        <v>575512</v>
      </c>
      <c r="M975" s="3">
        <v>15091</v>
      </c>
      <c r="N975" s="3">
        <v>1240</v>
      </c>
      <c r="O975" s="3">
        <v>6349.79</v>
      </c>
      <c r="P975" s="9">
        <f t="shared" si="75"/>
        <v>2.6221868527502465</v>
      </c>
      <c r="Q975" s="11">
        <f t="shared" si="76"/>
        <v>0.42076668212842089</v>
      </c>
      <c r="R975" s="13">
        <f t="shared" si="77"/>
        <v>5.1207983870967739</v>
      </c>
      <c r="S975" s="4">
        <f t="shared" si="78"/>
        <v>1.0437526280396674</v>
      </c>
      <c r="T975" s="19" t="str">
        <f t="shared" si="79"/>
        <v>🟡 Mid</v>
      </c>
    </row>
    <row r="976" spans="1:20" x14ac:dyDescent="0.3">
      <c r="A976" s="16">
        <v>975</v>
      </c>
      <c r="B976" s="1" t="s">
        <v>62</v>
      </c>
      <c r="C976" s="1" t="s">
        <v>21</v>
      </c>
      <c r="D976" s="1" t="s">
        <v>13</v>
      </c>
      <c r="E976" s="1" t="s">
        <v>23</v>
      </c>
      <c r="F976" s="1" t="s">
        <v>31</v>
      </c>
      <c r="G976" s="1" t="s">
        <v>25</v>
      </c>
      <c r="H976" s="1" t="s">
        <v>79</v>
      </c>
      <c r="I976" s="1" t="s">
        <v>45</v>
      </c>
      <c r="J976" s="5">
        <v>2024</v>
      </c>
      <c r="K976" s="1">
        <v>10568.64</v>
      </c>
      <c r="L976" s="1">
        <v>701773</v>
      </c>
      <c r="M976" s="1">
        <v>350</v>
      </c>
      <c r="N976" s="1">
        <v>33</v>
      </c>
      <c r="O976" s="1">
        <v>6629.51</v>
      </c>
      <c r="P976" s="8">
        <f t="shared" si="75"/>
        <v>4.98736771007149E-2</v>
      </c>
      <c r="Q976" s="10">
        <f t="shared" si="76"/>
        <v>18.941457142857143</v>
      </c>
      <c r="R976" s="12">
        <f t="shared" si="77"/>
        <v>200.89424242424244</v>
      </c>
      <c r="S976" s="14">
        <f t="shared" si="78"/>
        <v>1.5941811687439944</v>
      </c>
      <c r="T976" s="18" t="str">
        <f t="shared" si="79"/>
        <v>🔴 Low</v>
      </c>
    </row>
    <row r="977" spans="1:20" x14ac:dyDescent="0.3">
      <c r="A977" s="17">
        <v>976</v>
      </c>
      <c r="B977" s="3" t="s">
        <v>49</v>
      </c>
      <c r="C977" s="3" t="s">
        <v>21</v>
      </c>
      <c r="D977" s="3" t="s">
        <v>13</v>
      </c>
      <c r="E977" s="3" t="s">
        <v>42</v>
      </c>
      <c r="F977" s="3" t="s">
        <v>24</v>
      </c>
      <c r="G977" s="3" t="s">
        <v>50</v>
      </c>
      <c r="H977" s="3" t="s">
        <v>68</v>
      </c>
      <c r="I977" s="3" t="s">
        <v>27</v>
      </c>
      <c r="J977" s="6">
        <v>2024</v>
      </c>
      <c r="K977" s="3">
        <v>12366.32</v>
      </c>
      <c r="L977" s="3">
        <v>727171</v>
      </c>
      <c r="M977" s="3">
        <v>9053</v>
      </c>
      <c r="N977" s="3">
        <v>772</v>
      </c>
      <c r="O977" s="3">
        <v>8318.16</v>
      </c>
      <c r="P977" s="9">
        <f t="shared" si="75"/>
        <v>1.2449616390092564</v>
      </c>
      <c r="Q977" s="11">
        <f t="shared" si="76"/>
        <v>0.91882911741963991</v>
      </c>
      <c r="R977" s="13">
        <f t="shared" si="77"/>
        <v>10.77481865284974</v>
      </c>
      <c r="S977" s="15">
        <f t="shared" si="78"/>
        <v>1.4866653202150475</v>
      </c>
      <c r="T977" s="19" t="str">
        <f t="shared" si="79"/>
        <v>🔴 Low</v>
      </c>
    </row>
    <row r="978" spans="1:20" x14ac:dyDescent="0.3">
      <c r="A978" s="16">
        <v>977</v>
      </c>
      <c r="B978" s="1" t="s">
        <v>62</v>
      </c>
      <c r="C978" s="1" t="s">
        <v>21</v>
      </c>
      <c r="D978" s="1" t="s">
        <v>13</v>
      </c>
      <c r="E978" s="1" t="s">
        <v>23</v>
      </c>
      <c r="F978" s="1" t="s">
        <v>31</v>
      </c>
      <c r="G978" s="1" t="s">
        <v>43</v>
      </c>
      <c r="H978" s="1" t="s">
        <v>58</v>
      </c>
      <c r="I978" s="1" t="s">
        <v>27</v>
      </c>
      <c r="J978" s="5">
        <v>2024</v>
      </c>
      <c r="K978" s="1">
        <v>9591.92</v>
      </c>
      <c r="L978" s="1">
        <v>735115</v>
      </c>
      <c r="M978" s="1">
        <v>12417</v>
      </c>
      <c r="N978" s="1">
        <v>697</v>
      </c>
      <c r="O978" s="1">
        <v>9453.4599999999991</v>
      </c>
      <c r="P978" s="8">
        <f t="shared" si="75"/>
        <v>1.6891234704774085</v>
      </c>
      <c r="Q978" s="10">
        <f t="shared" si="76"/>
        <v>0.7613320447773213</v>
      </c>
      <c r="R978" s="12">
        <f t="shared" si="77"/>
        <v>13.563070301291248</v>
      </c>
      <c r="S978" s="14">
        <f t="shared" si="78"/>
        <v>1.0146464892219358</v>
      </c>
      <c r="T978" s="18" t="str">
        <f t="shared" si="79"/>
        <v>🟡 Mid</v>
      </c>
    </row>
    <row r="979" spans="1:20" x14ac:dyDescent="0.3">
      <c r="A979" s="17">
        <v>978</v>
      </c>
      <c r="B979" s="3" t="s">
        <v>88</v>
      </c>
      <c r="C979" s="3" t="s">
        <v>36</v>
      </c>
      <c r="D979" s="3" t="s">
        <v>46</v>
      </c>
      <c r="E979" s="3" t="s">
        <v>23</v>
      </c>
      <c r="F979" s="3" t="s">
        <v>31</v>
      </c>
      <c r="G979" s="3" t="s">
        <v>57</v>
      </c>
      <c r="H979" s="3" t="s">
        <v>26</v>
      </c>
      <c r="I979" s="3" t="s">
        <v>27</v>
      </c>
      <c r="J979" s="6">
        <v>2023</v>
      </c>
      <c r="K979" s="3">
        <v>4741.75</v>
      </c>
      <c r="L979" s="3">
        <v>397722</v>
      </c>
      <c r="M979" s="3">
        <v>13499</v>
      </c>
      <c r="N979" s="3">
        <v>912</v>
      </c>
      <c r="O979" s="3">
        <v>4592.0200000000004</v>
      </c>
      <c r="P979" s="9">
        <f t="shared" si="75"/>
        <v>3.3940792815081888</v>
      </c>
      <c r="Q979" s="11">
        <f t="shared" si="76"/>
        <v>0.34017482776501967</v>
      </c>
      <c r="R979" s="13">
        <f t="shared" si="77"/>
        <v>5.0351096491228073</v>
      </c>
      <c r="S979" s="15">
        <f t="shared" si="78"/>
        <v>1.0326065653024159</v>
      </c>
      <c r="T979" s="19" t="str">
        <f t="shared" si="79"/>
        <v>🟢 High</v>
      </c>
    </row>
    <row r="980" spans="1:20" x14ac:dyDescent="0.3">
      <c r="A980" s="16">
        <v>979</v>
      </c>
      <c r="B980" s="1" t="s">
        <v>94</v>
      </c>
      <c r="C980" s="1" t="s">
        <v>36</v>
      </c>
      <c r="D980" s="1" t="s">
        <v>46</v>
      </c>
      <c r="E980" s="1" t="s">
        <v>30</v>
      </c>
      <c r="F980" s="1" t="s">
        <v>47</v>
      </c>
      <c r="G980" s="1" t="s">
        <v>57</v>
      </c>
      <c r="H980" s="1" t="s">
        <v>33</v>
      </c>
      <c r="I980" s="1" t="s">
        <v>34</v>
      </c>
      <c r="J980" s="5">
        <v>2024</v>
      </c>
      <c r="K980" s="1">
        <v>3971.08</v>
      </c>
      <c r="L980" s="1">
        <v>152247</v>
      </c>
      <c r="M980" s="1">
        <v>3540</v>
      </c>
      <c r="N980" s="1">
        <v>319</v>
      </c>
      <c r="O980" s="1">
        <v>2837.64</v>
      </c>
      <c r="P980" s="8">
        <f t="shared" si="75"/>
        <v>2.3251689688466768</v>
      </c>
      <c r="Q980" s="10">
        <f t="shared" si="76"/>
        <v>0.80159322033898306</v>
      </c>
      <c r="R980" s="12">
        <f t="shared" si="77"/>
        <v>8.8954231974921623</v>
      </c>
      <c r="S980" s="14">
        <f t="shared" si="78"/>
        <v>1.3994305126795505</v>
      </c>
      <c r="T980" s="18" t="str">
        <f t="shared" si="79"/>
        <v>🟡 Mid</v>
      </c>
    </row>
    <row r="981" spans="1:20" x14ac:dyDescent="0.3">
      <c r="A981" s="17">
        <v>980</v>
      </c>
      <c r="B981" s="3" t="s">
        <v>55</v>
      </c>
      <c r="C981" s="3" t="s">
        <v>36</v>
      </c>
      <c r="D981" s="3" t="s">
        <v>13</v>
      </c>
      <c r="E981" s="3" t="s">
        <v>23</v>
      </c>
      <c r="F981" s="3" t="s">
        <v>31</v>
      </c>
      <c r="G981" s="3" t="s">
        <v>50</v>
      </c>
      <c r="H981" s="3" t="s">
        <v>52</v>
      </c>
      <c r="I981" s="3" t="s">
        <v>38</v>
      </c>
      <c r="J981" s="6">
        <v>2023</v>
      </c>
      <c r="K981" s="3">
        <v>10052.77</v>
      </c>
      <c r="L981" s="3">
        <v>611806</v>
      </c>
      <c r="M981" s="3">
        <v>15873</v>
      </c>
      <c r="N981" s="3">
        <v>1197</v>
      </c>
      <c r="O981" s="3">
        <v>9292.74</v>
      </c>
      <c r="P981" s="9">
        <f t="shared" si="75"/>
        <v>2.5944498746334621</v>
      </c>
      <c r="Q981" s="11">
        <f t="shared" si="76"/>
        <v>0.58544320544320538</v>
      </c>
      <c r="R981" s="13">
        <f t="shared" si="77"/>
        <v>7.7633583959899743</v>
      </c>
      <c r="S981" s="15">
        <f t="shared" si="78"/>
        <v>1.0817875029323967</v>
      </c>
      <c r="T981" s="19" t="str">
        <f t="shared" si="79"/>
        <v>🟡 Mid</v>
      </c>
    </row>
    <row r="982" spans="1:20" x14ac:dyDescent="0.3">
      <c r="A982" s="16">
        <v>981</v>
      </c>
      <c r="B982" s="1" t="s">
        <v>74</v>
      </c>
      <c r="C982" s="1" t="s">
        <v>21</v>
      </c>
      <c r="D982" s="1" t="s">
        <v>46</v>
      </c>
      <c r="E982" s="1" t="s">
        <v>42</v>
      </c>
      <c r="F982" s="1" t="s">
        <v>31</v>
      </c>
      <c r="G982" s="1" t="s">
        <v>50</v>
      </c>
      <c r="H982" s="1" t="s">
        <v>26</v>
      </c>
      <c r="I982" s="1" t="s">
        <v>27</v>
      </c>
      <c r="J982" s="5">
        <v>2023</v>
      </c>
      <c r="K982" s="1">
        <v>19878.23</v>
      </c>
      <c r="L982" s="1">
        <v>459928</v>
      </c>
      <c r="M982" s="1">
        <v>818</v>
      </c>
      <c r="N982" s="1">
        <v>71</v>
      </c>
      <c r="O982" s="1">
        <v>13658.88</v>
      </c>
      <c r="P982" s="8">
        <f t="shared" si="75"/>
        <v>0.17785392496216798</v>
      </c>
      <c r="Q982" s="10">
        <f t="shared" si="76"/>
        <v>16.697897310513447</v>
      </c>
      <c r="R982" s="12">
        <f t="shared" si="77"/>
        <v>192.37859154929578</v>
      </c>
      <c r="S982" s="14">
        <f t="shared" si="78"/>
        <v>1.4553338194639678</v>
      </c>
      <c r="T982" s="18" t="str">
        <f t="shared" si="79"/>
        <v>🔴 Low</v>
      </c>
    </row>
    <row r="983" spans="1:20" x14ac:dyDescent="0.3">
      <c r="A983" s="17">
        <v>982</v>
      </c>
      <c r="B983" s="3" t="s">
        <v>59</v>
      </c>
      <c r="C983" s="3" t="s">
        <v>21</v>
      </c>
      <c r="D983" s="3" t="s">
        <v>22</v>
      </c>
      <c r="E983" s="3" t="s">
        <v>61</v>
      </c>
      <c r="F983" s="3" t="s">
        <v>24</v>
      </c>
      <c r="G983" s="3" t="s">
        <v>43</v>
      </c>
      <c r="H983" s="3" t="s">
        <v>83</v>
      </c>
      <c r="I983" s="3" t="s">
        <v>38</v>
      </c>
      <c r="J983" s="6">
        <v>2024</v>
      </c>
      <c r="K983" s="3">
        <v>5586.5</v>
      </c>
      <c r="L983" s="3">
        <v>125898</v>
      </c>
      <c r="M983" s="3">
        <v>1823</v>
      </c>
      <c r="N983" s="3">
        <v>23</v>
      </c>
      <c r="O983" s="3">
        <v>4832.7</v>
      </c>
      <c r="P983" s="9">
        <f t="shared" si="75"/>
        <v>1.4479975853468681</v>
      </c>
      <c r="Q983" s="11">
        <f t="shared" si="76"/>
        <v>2.6509599561162918</v>
      </c>
      <c r="R983" s="13">
        <f t="shared" si="77"/>
        <v>210.11739130434782</v>
      </c>
      <c r="S983" s="15">
        <f t="shared" si="78"/>
        <v>1.155979059325015</v>
      </c>
      <c r="T983" s="19" t="str">
        <f t="shared" si="79"/>
        <v>🔴 Low</v>
      </c>
    </row>
    <row r="984" spans="1:20" x14ac:dyDescent="0.3">
      <c r="A984" s="16">
        <v>983</v>
      </c>
      <c r="B984" s="1" t="s">
        <v>92</v>
      </c>
      <c r="C984" s="1" t="s">
        <v>40</v>
      </c>
      <c r="D984" s="1" t="s">
        <v>41</v>
      </c>
      <c r="E984" s="1" t="s">
        <v>61</v>
      </c>
      <c r="F984" s="1" t="s">
        <v>47</v>
      </c>
      <c r="G984" s="1" t="s">
        <v>43</v>
      </c>
      <c r="H984" s="1" t="s">
        <v>79</v>
      </c>
      <c r="I984" s="1" t="s">
        <v>45</v>
      </c>
      <c r="J984" s="5">
        <v>2024</v>
      </c>
      <c r="K984" s="1">
        <v>13336.94</v>
      </c>
      <c r="L984" s="1">
        <v>40494</v>
      </c>
      <c r="M984" s="1">
        <v>606</v>
      </c>
      <c r="N984" s="1">
        <v>53</v>
      </c>
      <c r="O984" s="1">
        <v>13049.26</v>
      </c>
      <c r="P984" s="8">
        <f t="shared" si="75"/>
        <v>1.4965180026670619</v>
      </c>
      <c r="Q984" s="10">
        <f t="shared" si="76"/>
        <v>21.533432343234324</v>
      </c>
      <c r="R984" s="12">
        <f t="shared" si="77"/>
        <v>246.21245283018868</v>
      </c>
      <c r="S984" s="14">
        <f t="shared" si="78"/>
        <v>1.0220456945451313</v>
      </c>
      <c r="T984" s="18" t="str">
        <f t="shared" si="79"/>
        <v>🔴 Low</v>
      </c>
    </row>
    <row r="985" spans="1:20" x14ac:dyDescent="0.3">
      <c r="A985" s="17">
        <v>984</v>
      </c>
      <c r="B985" s="3" t="s">
        <v>75</v>
      </c>
      <c r="C985" s="3" t="s">
        <v>36</v>
      </c>
      <c r="D985" s="3" t="s">
        <v>41</v>
      </c>
      <c r="E985" s="3" t="s">
        <v>23</v>
      </c>
      <c r="F985" s="3" t="s">
        <v>47</v>
      </c>
      <c r="G985" s="3" t="s">
        <v>57</v>
      </c>
      <c r="H985" s="3" t="s">
        <v>26</v>
      </c>
      <c r="I985" s="3" t="s">
        <v>27</v>
      </c>
      <c r="J985" s="6">
        <v>2024</v>
      </c>
      <c r="K985" s="3">
        <v>6472.37</v>
      </c>
      <c r="L985" s="3">
        <v>494518</v>
      </c>
      <c r="M985" s="3">
        <v>14890</v>
      </c>
      <c r="N985" s="3">
        <v>1544</v>
      </c>
      <c r="O985" s="3">
        <v>5927.78</v>
      </c>
      <c r="P985" s="9">
        <f t="shared" si="75"/>
        <v>3.0110127437221701</v>
      </c>
      <c r="Q985" s="11">
        <f t="shared" si="76"/>
        <v>0.39810476830087305</v>
      </c>
      <c r="R985" s="13">
        <f t="shared" si="77"/>
        <v>3.8392357512953366</v>
      </c>
      <c r="S985" s="15">
        <f t="shared" si="78"/>
        <v>1.0918708184176875</v>
      </c>
      <c r="T985" s="19" t="str">
        <f t="shared" si="79"/>
        <v>🟢 High</v>
      </c>
    </row>
    <row r="986" spans="1:20" x14ac:dyDescent="0.3">
      <c r="A986" s="16">
        <v>985</v>
      </c>
      <c r="B986" s="1" t="s">
        <v>66</v>
      </c>
      <c r="C986" s="1" t="s">
        <v>40</v>
      </c>
      <c r="D986" s="1" t="s">
        <v>29</v>
      </c>
      <c r="E986" s="1" t="s">
        <v>61</v>
      </c>
      <c r="F986" s="1" t="s">
        <v>31</v>
      </c>
      <c r="G986" s="1" t="s">
        <v>50</v>
      </c>
      <c r="H986" s="1" t="s">
        <v>54</v>
      </c>
      <c r="I986" s="1" t="s">
        <v>45</v>
      </c>
      <c r="J986" s="5">
        <v>2024</v>
      </c>
      <c r="K986" s="1">
        <v>9734.66</v>
      </c>
      <c r="L986" s="1">
        <v>260421</v>
      </c>
      <c r="M986" s="1">
        <v>4146</v>
      </c>
      <c r="N986" s="1">
        <v>83</v>
      </c>
      <c r="O986" s="1">
        <v>8615.11</v>
      </c>
      <c r="P986" s="8">
        <f t="shared" si="75"/>
        <v>1.5920375084958587</v>
      </c>
      <c r="Q986" s="10">
        <f t="shared" si="76"/>
        <v>2.0779329474191992</v>
      </c>
      <c r="R986" s="12">
        <f t="shared" si="77"/>
        <v>103.79650602409639</v>
      </c>
      <c r="S986" s="14">
        <f t="shared" si="78"/>
        <v>1.1299519100742763</v>
      </c>
      <c r="T986" s="18" t="str">
        <f t="shared" si="79"/>
        <v>🟡 Mid</v>
      </c>
    </row>
    <row r="987" spans="1:20" x14ac:dyDescent="0.3">
      <c r="A987" s="17">
        <v>986</v>
      </c>
      <c r="B987" s="3" t="s">
        <v>60</v>
      </c>
      <c r="C987" s="3" t="s">
        <v>40</v>
      </c>
      <c r="D987" s="3" t="s">
        <v>46</v>
      </c>
      <c r="E987" s="3" t="s">
        <v>61</v>
      </c>
      <c r="F987" s="3" t="s">
        <v>24</v>
      </c>
      <c r="G987" s="3" t="s">
        <v>50</v>
      </c>
      <c r="H987" s="3" t="s">
        <v>33</v>
      </c>
      <c r="I987" s="3" t="s">
        <v>34</v>
      </c>
      <c r="J987" s="6">
        <v>2024</v>
      </c>
      <c r="K987" s="3">
        <v>19102.650000000001</v>
      </c>
      <c r="L987" s="3">
        <v>425216</v>
      </c>
      <c r="M987" s="3">
        <v>8858</v>
      </c>
      <c r="N987" s="3">
        <v>669</v>
      </c>
      <c r="O987" s="3">
        <v>12777.59</v>
      </c>
      <c r="P987" s="9">
        <f t="shared" si="75"/>
        <v>2.0831765502709212</v>
      </c>
      <c r="Q987" s="11">
        <f t="shared" si="76"/>
        <v>1.4424915330774442</v>
      </c>
      <c r="R987" s="13">
        <f t="shared" si="77"/>
        <v>19.099536621823617</v>
      </c>
      <c r="S987" s="15">
        <f t="shared" si="78"/>
        <v>1.4950119701759097</v>
      </c>
      <c r="T987" s="19" t="str">
        <f t="shared" si="79"/>
        <v>🟡 Mid</v>
      </c>
    </row>
    <row r="988" spans="1:20" x14ac:dyDescent="0.3">
      <c r="A988" s="16">
        <v>987</v>
      </c>
      <c r="B988" s="1" t="s">
        <v>71</v>
      </c>
      <c r="C988" s="1" t="s">
        <v>36</v>
      </c>
      <c r="D988" s="1" t="s">
        <v>29</v>
      </c>
      <c r="E988" s="1" t="s">
        <v>61</v>
      </c>
      <c r="F988" s="1" t="s">
        <v>24</v>
      </c>
      <c r="G988" s="1" t="s">
        <v>32</v>
      </c>
      <c r="H988" s="1" t="s">
        <v>26</v>
      </c>
      <c r="I988" s="1" t="s">
        <v>27</v>
      </c>
      <c r="J988" s="5">
        <v>2023</v>
      </c>
      <c r="K988" s="1">
        <v>13436.43</v>
      </c>
      <c r="L988" s="1">
        <v>61413</v>
      </c>
      <c r="M988" s="1">
        <v>1979</v>
      </c>
      <c r="N988" s="1">
        <v>65</v>
      </c>
      <c r="O988" s="1">
        <v>12584.9</v>
      </c>
      <c r="P988" s="8">
        <f t="shared" si="75"/>
        <v>3.2224447592529271</v>
      </c>
      <c r="Q988" s="10">
        <f t="shared" si="76"/>
        <v>6.3592218292066702</v>
      </c>
      <c r="R988" s="12">
        <f t="shared" si="77"/>
        <v>193.61384615384614</v>
      </c>
      <c r="S988" s="14">
        <f t="shared" si="78"/>
        <v>1.0676628340312597</v>
      </c>
      <c r="T988" s="18" t="str">
        <f t="shared" si="79"/>
        <v>🟢 High</v>
      </c>
    </row>
    <row r="989" spans="1:20" x14ac:dyDescent="0.3">
      <c r="A989" s="17">
        <v>988</v>
      </c>
      <c r="B989" s="3" t="s">
        <v>80</v>
      </c>
      <c r="C989" s="3" t="s">
        <v>40</v>
      </c>
      <c r="D989" s="3" t="s">
        <v>46</v>
      </c>
      <c r="E989" s="3" t="s">
        <v>56</v>
      </c>
      <c r="F989" s="3" t="s">
        <v>24</v>
      </c>
      <c r="G989" s="3" t="s">
        <v>25</v>
      </c>
      <c r="H989" s="3" t="s">
        <v>83</v>
      </c>
      <c r="I989" s="3" t="s">
        <v>38</v>
      </c>
      <c r="J989" s="6">
        <v>2023</v>
      </c>
      <c r="K989" s="3">
        <v>6375.01</v>
      </c>
      <c r="L989" s="3">
        <v>89279</v>
      </c>
      <c r="M989" s="3">
        <v>1357</v>
      </c>
      <c r="N989" s="3">
        <v>69</v>
      </c>
      <c r="O989" s="3">
        <v>6121.67</v>
      </c>
      <c r="P989" s="9">
        <f t="shared" si="75"/>
        <v>1.5199543005634024</v>
      </c>
      <c r="Q989" s="11">
        <f t="shared" si="76"/>
        <v>4.5111790714812088</v>
      </c>
      <c r="R989" s="13">
        <f t="shared" si="77"/>
        <v>88.719855072463773</v>
      </c>
      <c r="S989" s="15">
        <f t="shared" si="78"/>
        <v>1.0413841321077419</v>
      </c>
      <c r="T989" s="19" t="str">
        <f t="shared" si="79"/>
        <v>🟡 Mid</v>
      </c>
    </row>
    <row r="990" spans="1:20" x14ac:dyDescent="0.3">
      <c r="A990" s="16">
        <v>989</v>
      </c>
      <c r="B990" s="1" t="s">
        <v>85</v>
      </c>
      <c r="C990" s="1" t="s">
        <v>40</v>
      </c>
      <c r="D990" s="1" t="s">
        <v>46</v>
      </c>
      <c r="E990" s="1" t="s">
        <v>30</v>
      </c>
      <c r="F990" s="1" t="s">
        <v>31</v>
      </c>
      <c r="G990" s="1" t="s">
        <v>32</v>
      </c>
      <c r="H990" s="1" t="s">
        <v>37</v>
      </c>
      <c r="I990" s="1" t="s">
        <v>38</v>
      </c>
      <c r="J990" s="5">
        <v>2023</v>
      </c>
      <c r="K990" s="1">
        <v>9808.2099999999991</v>
      </c>
      <c r="L990" s="1">
        <v>366456</v>
      </c>
      <c r="M990" s="1">
        <v>7736</v>
      </c>
      <c r="N990" s="1">
        <v>492</v>
      </c>
      <c r="O990" s="1">
        <v>6760.28</v>
      </c>
      <c r="P990" s="8">
        <f t="shared" si="75"/>
        <v>2.1110310651210513</v>
      </c>
      <c r="Q990" s="10">
        <f t="shared" si="76"/>
        <v>0.8738728024819028</v>
      </c>
      <c r="R990" s="12">
        <f t="shared" si="77"/>
        <v>13.74040650406504</v>
      </c>
      <c r="S990" s="14">
        <f t="shared" si="78"/>
        <v>1.4508585443206494</v>
      </c>
      <c r="T990" s="18" t="str">
        <f t="shared" si="79"/>
        <v>🟡 Mid</v>
      </c>
    </row>
    <row r="991" spans="1:20" x14ac:dyDescent="0.3">
      <c r="A991" s="17">
        <v>990</v>
      </c>
      <c r="B991" s="3" t="s">
        <v>82</v>
      </c>
      <c r="C991" s="3" t="s">
        <v>40</v>
      </c>
      <c r="D991" s="3" t="s">
        <v>41</v>
      </c>
      <c r="E991" s="3" t="s">
        <v>30</v>
      </c>
      <c r="F991" s="3" t="s">
        <v>24</v>
      </c>
      <c r="G991" s="3" t="s">
        <v>50</v>
      </c>
      <c r="H991" s="3" t="s">
        <v>26</v>
      </c>
      <c r="I991" s="3" t="s">
        <v>27</v>
      </c>
      <c r="J991" s="6">
        <v>2024</v>
      </c>
      <c r="K991" s="3">
        <v>15379.36</v>
      </c>
      <c r="L991" s="3">
        <v>145012</v>
      </c>
      <c r="M991" s="3">
        <v>2858</v>
      </c>
      <c r="N991" s="3">
        <v>262</v>
      </c>
      <c r="O991" s="3">
        <v>11340.54</v>
      </c>
      <c r="P991" s="9">
        <f t="shared" si="75"/>
        <v>1.9708713761619729</v>
      </c>
      <c r="Q991" s="11">
        <f t="shared" si="76"/>
        <v>3.9679986004198744</v>
      </c>
      <c r="R991" s="13">
        <f t="shared" si="77"/>
        <v>43.284503816793894</v>
      </c>
      <c r="S991" s="15">
        <f t="shared" si="78"/>
        <v>1.3561400074423264</v>
      </c>
      <c r="T991" s="19" t="str">
        <f t="shared" si="79"/>
        <v>🟡 Mid</v>
      </c>
    </row>
    <row r="992" spans="1:20" x14ac:dyDescent="0.3">
      <c r="A992" s="16">
        <v>991</v>
      </c>
      <c r="B992" s="1" t="s">
        <v>82</v>
      </c>
      <c r="C992" s="1" t="s">
        <v>40</v>
      </c>
      <c r="D992" s="1" t="s">
        <v>29</v>
      </c>
      <c r="E992" s="1" t="s">
        <v>56</v>
      </c>
      <c r="F992" s="1" t="s">
        <v>31</v>
      </c>
      <c r="G992" s="1" t="s">
        <v>57</v>
      </c>
      <c r="H992" s="1" t="s">
        <v>37</v>
      </c>
      <c r="I992" s="1" t="s">
        <v>38</v>
      </c>
      <c r="J992" s="5">
        <v>2024</v>
      </c>
      <c r="K992" s="1">
        <v>13562.6</v>
      </c>
      <c r="L992" s="1">
        <v>619915</v>
      </c>
      <c r="M992" s="1">
        <v>16280</v>
      </c>
      <c r="N992" s="1">
        <v>249</v>
      </c>
      <c r="O992" s="1">
        <v>9477.09</v>
      </c>
      <c r="P992" s="8">
        <f t="shared" si="75"/>
        <v>2.6261664905672553</v>
      </c>
      <c r="Q992" s="10">
        <f t="shared" si="76"/>
        <v>0.58213083538083543</v>
      </c>
      <c r="R992" s="12">
        <f t="shared" si="77"/>
        <v>38.060602409638555</v>
      </c>
      <c r="S992" s="14">
        <f t="shared" si="78"/>
        <v>1.4310932997365224</v>
      </c>
      <c r="T992" s="18" t="str">
        <f t="shared" si="79"/>
        <v>🟡 Mid</v>
      </c>
    </row>
    <row r="993" spans="1:20" x14ac:dyDescent="0.3">
      <c r="A993" s="17">
        <v>992</v>
      </c>
      <c r="B993" s="3" t="s">
        <v>100</v>
      </c>
      <c r="C993" s="3" t="s">
        <v>40</v>
      </c>
      <c r="D993" s="3" t="s">
        <v>29</v>
      </c>
      <c r="E993" s="3" t="s">
        <v>42</v>
      </c>
      <c r="F993" s="3" t="s">
        <v>31</v>
      </c>
      <c r="G993" s="3" t="s">
        <v>32</v>
      </c>
      <c r="H993" s="3" t="s">
        <v>33</v>
      </c>
      <c r="I993" s="3" t="s">
        <v>34</v>
      </c>
      <c r="J993" s="6">
        <v>2023</v>
      </c>
      <c r="K993" s="3">
        <v>13088.76</v>
      </c>
      <c r="L993" s="3">
        <v>149787</v>
      </c>
      <c r="M993" s="3">
        <v>2658</v>
      </c>
      <c r="N993" s="3">
        <v>66</v>
      </c>
      <c r="O993" s="3">
        <v>8096.5</v>
      </c>
      <c r="P993" s="9">
        <f t="shared" si="75"/>
        <v>1.7745198181417614</v>
      </c>
      <c r="Q993" s="11">
        <f t="shared" si="76"/>
        <v>3.0460872836719339</v>
      </c>
      <c r="R993" s="13">
        <f t="shared" si="77"/>
        <v>122.67424242424242</v>
      </c>
      <c r="S993" s="15">
        <f t="shared" si="78"/>
        <v>1.61659482492435</v>
      </c>
      <c r="T993" s="19" t="str">
        <f t="shared" si="79"/>
        <v>🟡 Mid</v>
      </c>
    </row>
    <row r="994" spans="1:20" x14ac:dyDescent="0.3">
      <c r="A994" s="16">
        <v>993</v>
      </c>
      <c r="B994" s="1" t="s">
        <v>80</v>
      </c>
      <c r="C994" s="1" t="s">
        <v>40</v>
      </c>
      <c r="D994" s="1" t="s">
        <v>22</v>
      </c>
      <c r="E994" s="1" t="s">
        <v>23</v>
      </c>
      <c r="F994" s="1" t="s">
        <v>47</v>
      </c>
      <c r="G994" s="1" t="s">
        <v>25</v>
      </c>
      <c r="H994" s="1" t="s">
        <v>33</v>
      </c>
      <c r="I994" s="1" t="s">
        <v>34</v>
      </c>
      <c r="J994" s="5">
        <v>2023</v>
      </c>
      <c r="K994" s="1">
        <v>6056.8</v>
      </c>
      <c r="L994" s="1">
        <v>410605</v>
      </c>
      <c r="M994" s="1">
        <v>5506</v>
      </c>
      <c r="N994" s="1">
        <v>49</v>
      </c>
      <c r="O994" s="1">
        <v>6063.51</v>
      </c>
      <c r="P994" s="8">
        <f t="shared" si="75"/>
        <v>1.3409481131501078</v>
      </c>
      <c r="Q994" s="10">
        <f t="shared" si="76"/>
        <v>1.1012549945513985</v>
      </c>
      <c r="R994" s="12">
        <f t="shared" si="77"/>
        <v>123.74510204081633</v>
      </c>
      <c r="S994" s="14">
        <f t="shared" si="78"/>
        <v>0.99889338023685947</v>
      </c>
      <c r="T994" s="18" t="str">
        <f t="shared" si="79"/>
        <v>🔴 Low</v>
      </c>
    </row>
    <row r="995" spans="1:20" x14ac:dyDescent="0.3">
      <c r="A995" s="17">
        <v>994</v>
      </c>
      <c r="B995" s="3" t="s">
        <v>65</v>
      </c>
      <c r="C995" s="3" t="s">
        <v>36</v>
      </c>
      <c r="D995" s="3" t="s">
        <v>41</v>
      </c>
      <c r="E995" s="3" t="s">
        <v>61</v>
      </c>
      <c r="F995" s="3" t="s">
        <v>24</v>
      </c>
      <c r="G995" s="3" t="s">
        <v>50</v>
      </c>
      <c r="H995" s="3" t="s">
        <v>58</v>
      </c>
      <c r="I995" s="3" t="s">
        <v>27</v>
      </c>
      <c r="J995" s="6">
        <v>2024</v>
      </c>
      <c r="K995" s="3">
        <v>13878.28</v>
      </c>
      <c r="L995" s="3">
        <v>111330</v>
      </c>
      <c r="M995" s="3">
        <v>2548</v>
      </c>
      <c r="N995" s="3">
        <v>286</v>
      </c>
      <c r="O995" s="3">
        <v>10684.59</v>
      </c>
      <c r="P995" s="9">
        <f t="shared" si="75"/>
        <v>2.2886912781819815</v>
      </c>
      <c r="Q995" s="11">
        <f t="shared" si="76"/>
        <v>4.1933241758241762</v>
      </c>
      <c r="R995" s="13">
        <f t="shared" si="77"/>
        <v>37.358706293706291</v>
      </c>
      <c r="S995" s="15">
        <f t="shared" si="78"/>
        <v>1.2989061817065513</v>
      </c>
      <c r="T995" s="19" t="str">
        <f t="shared" si="79"/>
        <v>🟡 Mid</v>
      </c>
    </row>
    <row r="996" spans="1:20" x14ac:dyDescent="0.3">
      <c r="A996" s="16">
        <v>995</v>
      </c>
      <c r="B996" s="1" t="s">
        <v>65</v>
      </c>
      <c r="C996" s="1" t="s">
        <v>36</v>
      </c>
      <c r="D996" s="1" t="s">
        <v>13</v>
      </c>
      <c r="E996" s="1" t="s">
        <v>30</v>
      </c>
      <c r="F996" s="1" t="s">
        <v>31</v>
      </c>
      <c r="G996" s="1" t="s">
        <v>32</v>
      </c>
      <c r="H996" s="1" t="s">
        <v>33</v>
      </c>
      <c r="I996" s="1" t="s">
        <v>34</v>
      </c>
      <c r="J996" s="5">
        <v>2024</v>
      </c>
      <c r="K996" s="1">
        <v>725.98</v>
      </c>
      <c r="L996" s="1">
        <v>690577</v>
      </c>
      <c r="M996" s="1">
        <v>22725</v>
      </c>
      <c r="N996" s="1">
        <v>2363</v>
      </c>
      <c r="O996" s="1">
        <v>527.96</v>
      </c>
      <c r="P996" s="8">
        <f t="shared" si="75"/>
        <v>3.2907264504899523</v>
      </c>
      <c r="Q996" s="10">
        <f t="shared" si="76"/>
        <v>2.3232563256325636E-2</v>
      </c>
      <c r="R996" s="12">
        <f t="shared" si="77"/>
        <v>0.2234278459585273</v>
      </c>
      <c r="S996" s="14">
        <f t="shared" si="78"/>
        <v>1.3750662929009774</v>
      </c>
      <c r="T996" s="18" t="str">
        <f t="shared" si="79"/>
        <v>🟢 High</v>
      </c>
    </row>
    <row r="997" spans="1:20" x14ac:dyDescent="0.3">
      <c r="A997" s="17">
        <v>996</v>
      </c>
      <c r="B997" s="3" t="s">
        <v>39</v>
      </c>
      <c r="C997" s="3" t="s">
        <v>40</v>
      </c>
      <c r="D997" s="3" t="s">
        <v>29</v>
      </c>
      <c r="E997" s="3" t="s">
        <v>56</v>
      </c>
      <c r="F997" s="3" t="s">
        <v>31</v>
      </c>
      <c r="G997" s="3" t="s">
        <v>43</v>
      </c>
      <c r="H997" s="3" t="s">
        <v>48</v>
      </c>
      <c r="I997" s="3" t="s">
        <v>34</v>
      </c>
      <c r="J997" s="6">
        <v>2024</v>
      </c>
      <c r="K997" s="3">
        <v>16961.28</v>
      </c>
      <c r="L997" s="3">
        <v>387585</v>
      </c>
      <c r="M997" s="3">
        <v>5711</v>
      </c>
      <c r="N997" s="3">
        <v>76</v>
      </c>
      <c r="O997" s="3">
        <v>11450.77</v>
      </c>
      <c r="P997" s="9">
        <f t="shared" si="75"/>
        <v>1.4734832359353431</v>
      </c>
      <c r="Q997" s="11">
        <f t="shared" si="76"/>
        <v>2.005037646646822</v>
      </c>
      <c r="R997" s="13">
        <f t="shared" si="77"/>
        <v>150.66802631578949</v>
      </c>
      <c r="S997" s="15">
        <f t="shared" si="78"/>
        <v>1.4812348863875529</v>
      </c>
      <c r="T997" s="19" t="str">
        <f t="shared" si="79"/>
        <v>🔴 Low</v>
      </c>
    </row>
    <row r="998" spans="1:20" x14ac:dyDescent="0.3">
      <c r="A998" s="16">
        <v>997</v>
      </c>
      <c r="B998" s="1" t="s">
        <v>82</v>
      </c>
      <c r="C998" s="1" t="s">
        <v>40</v>
      </c>
      <c r="D998" s="1" t="s">
        <v>22</v>
      </c>
      <c r="E998" s="1" t="s">
        <v>30</v>
      </c>
      <c r="F998" s="1" t="s">
        <v>24</v>
      </c>
      <c r="G998" s="1" t="s">
        <v>43</v>
      </c>
      <c r="H998" s="1" t="s">
        <v>54</v>
      </c>
      <c r="I998" s="1" t="s">
        <v>45</v>
      </c>
      <c r="J998" s="5">
        <v>2024</v>
      </c>
      <c r="K998" s="1">
        <v>4353.45</v>
      </c>
      <c r="L998" s="1">
        <v>649371</v>
      </c>
      <c r="M998" s="1">
        <v>9888</v>
      </c>
      <c r="N998" s="1">
        <v>56</v>
      </c>
      <c r="O998" s="1">
        <v>3127.17</v>
      </c>
      <c r="P998" s="8">
        <f t="shared" si="75"/>
        <v>1.5227042784479135</v>
      </c>
      <c r="Q998" s="10">
        <f t="shared" si="76"/>
        <v>0.31625910194174756</v>
      </c>
      <c r="R998" s="12">
        <f t="shared" si="77"/>
        <v>55.842321428571431</v>
      </c>
      <c r="S998" s="14">
        <f t="shared" si="78"/>
        <v>1.3921372998589778</v>
      </c>
      <c r="T998" s="18" t="str">
        <f t="shared" si="79"/>
        <v>🟡 Mid</v>
      </c>
    </row>
    <row r="999" spans="1:20" x14ac:dyDescent="0.3">
      <c r="A999" s="17">
        <v>998</v>
      </c>
      <c r="B999" s="3" t="s">
        <v>86</v>
      </c>
      <c r="C999" s="3" t="s">
        <v>36</v>
      </c>
      <c r="D999" s="3" t="s">
        <v>41</v>
      </c>
      <c r="E999" s="3" t="s">
        <v>23</v>
      </c>
      <c r="F999" s="3" t="s">
        <v>24</v>
      </c>
      <c r="G999" s="3" t="s">
        <v>32</v>
      </c>
      <c r="H999" s="3" t="s">
        <v>44</v>
      </c>
      <c r="I999" s="3" t="s">
        <v>45</v>
      </c>
      <c r="J999" s="6">
        <v>2024</v>
      </c>
      <c r="K999" s="3">
        <v>5420.37</v>
      </c>
      <c r="L999" s="3">
        <v>358854</v>
      </c>
      <c r="M999" s="3">
        <v>8090</v>
      </c>
      <c r="N999" s="3">
        <v>922</v>
      </c>
      <c r="O999" s="3">
        <v>4997.96</v>
      </c>
      <c r="P999" s="9">
        <f t="shared" si="75"/>
        <v>2.2543987248295965</v>
      </c>
      <c r="Q999" s="11">
        <f t="shared" si="76"/>
        <v>0.61779480840543877</v>
      </c>
      <c r="R999" s="13">
        <f t="shared" si="77"/>
        <v>5.4207809110629066</v>
      </c>
      <c r="S999" s="15">
        <f t="shared" si="78"/>
        <v>1.0845164827249518</v>
      </c>
      <c r="T999" s="19" t="str">
        <f t="shared" si="79"/>
        <v>🟡 Mid</v>
      </c>
    </row>
    <row r="1000" spans="1:20" x14ac:dyDescent="0.3">
      <c r="A1000" s="16">
        <v>999</v>
      </c>
      <c r="B1000" s="1" t="s">
        <v>94</v>
      </c>
      <c r="C1000" s="1" t="s">
        <v>36</v>
      </c>
      <c r="D1000" s="1" t="s">
        <v>46</v>
      </c>
      <c r="E1000" s="1" t="s">
        <v>23</v>
      </c>
      <c r="F1000" s="1" t="s">
        <v>47</v>
      </c>
      <c r="G1000" s="1" t="s">
        <v>50</v>
      </c>
      <c r="H1000" s="1" t="s">
        <v>68</v>
      </c>
      <c r="I1000" s="1" t="s">
        <v>27</v>
      </c>
      <c r="J1000" s="5">
        <v>2024</v>
      </c>
      <c r="K1000" s="1">
        <v>6830.33</v>
      </c>
      <c r="L1000" s="1">
        <v>671876</v>
      </c>
      <c r="M1000" s="1">
        <v>20406</v>
      </c>
      <c r="N1000" s="1">
        <v>1712</v>
      </c>
      <c r="O1000" s="1">
        <v>5622.27</v>
      </c>
      <c r="P1000" s="8">
        <f t="shared" si="75"/>
        <v>3.0371675725877991</v>
      </c>
      <c r="Q1000" s="10">
        <f t="shared" si="76"/>
        <v>0.27552043516612762</v>
      </c>
      <c r="R1000" s="12">
        <f t="shared" si="77"/>
        <v>3.2840362149532711</v>
      </c>
      <c r="S1000" s="14">
        <f t="shared" si="78"/>
        <v>1.214870506041154</v>
      </c>
      <c r="T1000" s="18" t="str">
        <f t="shared" si="79"/>
        <v>🟢 High</v>
      </c>
    </row>
    <row r="1001" spans="1:20" x14ac:dyDescent="0.3">
      <c r="A1001" s="26">
        <v>1000</v>
      </c>
      <c r="B1001" s="27" t="s">
        <v>84</v>
      </c>
      <c r="C1001" s="27" t="s">
        <v>40</v>
      </c>
      <c r="D1001" s="27" t="s">
        <v>46</v>
      </c>
      <c r="E1001" s="27" t="s">
        <v>42</v>
      </c>
      <c r="F1001" s="27" t="s">
        <v>31</v>
      </c>
      <c r="G1001" s="27" t="s">
        <v>57</v>
      </c>
      <c r="H1001" s="27" t="s">
        <v>26</v>
      </c>
      <c r="I1001" s="27" t="s">
        <v>27</v>
      </c>
      <c r="J1001" s="28">
        <v>2023</v>
      </c>
      <c r="K1001" s="27">
        <v>12841.94</v>
      </c>
      <c r="L1001" s="27">
        <v>457041</v>
      </c>
      <c r="M1001" s="27">
        <v>7559</v>
      </c>
      <c r="N1001" s="27">
        <v>707</v>
      </c>
      <c r="O1001" s="27">
        <v>9568.0400000000009</v>
      </c>
      <c r="P1001" s="29">
        <f t="shared" si="75"/>
        <v>1.6538997595401723</v>
      </c>
      <c r="Q1001" s="30">
        <f t="shared" si="76"/>
        <v>1.2657811879878291</v>
      </c>
      <c r="R1001" s="31">
        <f t="shared" si="77"/>
        <v>13.533295615275815</v>
      </c>
      <c r="S1001" s="32">
        <f t="shared" si="78"/>
        <v>1.3421703922642463</v>
      </c>
      <c r="T1001" s="33" t="str">
        <f t="shared" si="79"/>
        <v>🟡 Mid</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18E3-DAF7-4F28-B688-C6E078CA33E8}">
  <dimension ref="A2:AC22"/>
  <sheetViews>
    <sheetView topLeftCell="N1" zoomScale="86" workbookViewId="0">
      <selection activeCell="U4" sqref="U4:V6"/>
    </sheetView>
  </sheetViews>
  <sheetFormatPr defaultRowHeight="14.4" x14ac:dyDescent="0.3"/>
  <cols>
    <col min="1" max="1" width="15.88671875" bestFit="1" customWidth="1"/>
    <col min="2" max="2" width="15.21875" bestFit="1" customWidth="1"/>
    <col min="3" max="3" width="12.88671875" bestFit="1" customWidth="1"/>
    <col min="4" max="4" width="15.6640625" bestFit="1" customWidth="1"/>
    <col min="5" max="5" width="13.109375" bestFit="1" customWidth="1"/>
    <col min="6" max="6" width="16.6640625" bestFit="1" customWidth="1"/>
    <col min="7" max="7" width="17.77734375" bestFit="1" customWidth="1"/>
    <col min="8" max="8" width="19.44140625" bestFit="1" customWidth="1"/>
    <col min="9" max="9" width="19.33203125" bestFit="1" customWidth="1"/>
    <col min="10" max="10" width="16" bestFit="1" customWidth="1"/>
    <col min="12" max="12" width="4.109375" customWidth="1"/>
    <col min="13" max="13" width="13.33203125" bestFit="1" customWidth="1"/>
    <col min="14" max="15" width="17.6640625" bestFit="1" customWidth="1"/>
    <col min="16" max="16" width="13.33203125" bestFit="1" customWidth="1"/>
    <col min="17" max="17" width="17.109375" bestFit="1" customWidth="1"/>
    <col min="18" max="18" width="17.44140625" bestFit="1" customWidth="1"/>
    <col min="21" max="21" width="13.33203125" bestFit="1" customWidth="1"/>
    <col min="22" max="23" width="16.109375" bestFit="1" customWidth="1"/>
    <col min="24" max="24" width="13.33203125" bestFit="1" customWidth="1"/>
    <col min="25" max="25" width="17.77734375" bestFit="1" customWidth="1"/>
    <col min="26" max="26" width="8.88671875" customWidth="1"/>
    <col min="27" max="27" width="13.33203125" bestFit="1" customWidth="1"/>
    <col min="28" max="28" width="18.44140625" bestFit="1" customWidth="1"/>
    <col min="29" max="37" width="8.88671875" customWidth="1"/>
  </cols>
  <sheetData>
    <row r="2" spans="1:29" x14ac:dyDescent="0.3">
      <c r="A2" s="65" t="s">
        <v>123</v>
      </c>
      <c r="B2" s="66"/>
      <c r="C2" s="66"/>
      <c r="D2" s="66"/>
      <c r="E2" s="66"/>
      <c r="F2" s="66"/>
      <c r="G2" s="66"/>
      <c r="H2" s="66"/>
      <c r="I2" s="66"/>
      <c r="J2" s="66"/>
      <c r="M2" s="67" t="s">
        <v>119</v>
      </c>
      <c r="N2" s="68"/>
      <c r="P2" s="67" t="s">
        <v>120</v>
      </c>
      <c r="Q2" s="68"/>
      <c r="R2" s="68"/>
      <c r="U2" s="67" t="s">
        <v>118</v>
      </c>
      <c r="V2" s="68"/>
    </row>
    <row r="3" spans="1:29" x14ac:dyDescent="0.3">
      <c r="A3" s="38" t="s">
        <v>105</v>
      </c>
      <c r="B3" s="39" t="s">
        <v>107</v>
      </c>
      <c r="C3" s="39" t="s">
        <v>104</v>
      </c>
      <c r="D3" s="38" t="s">
        <v>109</v>
      </c>
      <c r="E3" s="38" t="s">
        <v>110</v>
      </c>
      <c r="F3" s="38" t="s">
        <v>111</v>
      </c>
      <c r="G3" s="38" t="s">
        <v>112</v>
      </c>
      <c r="H3" s="39" t="s">
        <v>113</v>
      </c>
      <c r="I3" s="39" t="s">
        <v>114</v>
      </c>
      <c r="J3" s="38" t="s">
        <v>115</v>
      </c>
      <c r="M3" s="41" t="s">
        <v>105</v>
      </c>
      <c r="N3" s="41" t="s">
        <v>117</v>
      </c>
      <c r="P3" s="41" t="s">
        <v>105</v>
      </c>
      <c r="Q3" s="41" t="s">
        <v>113</v>
      </c>
      <c r="R3" s="41" t="s">
        <v>114</v>
      </c>
      <c r="U3" s="41" t="s">
        <v>105</v>
      </c>
      <c r="V3" s="41" t="s">
        <v>125</v>
      </c>
    </row>
    <row r="4" spans="1:29" x14ac:dyDescent="0.3">
      <c r="A4" s="35" t="s">
        <v>21</v>
      </c>
      <c r="B4" s="36">
        <v>3698696.8700000015</v>
      </c>
      <c r="C4" s="61">
        <v>2994319.4000000027</v>
      </c>
      <c r="D4" s="51">
        <v>142367838</v>
      </c>
      <c r="E4" s="51">
        <v>1086091</v>
      </c>
      <c r="F4" s="51">
        <v>61081</v>
      </c>
      <c r="G4" s="37">
        <v>0.72389059727077709</v>
      </c>
      <c r="H4" s="48">
        <v>18.09618667922603</v>
      </c>
      <c r="I4" s="48">
        <v>548.6321777762289</v>
      </c>
      <c r="J4" s="37">
        <v>1.2643918699164609</v>
      </c>
      <c r="M4" s="44" t="s">
        <v>68</v>
      </c>
      <c r="N4" s="54">
        <v>672469.3200000003</v>
      </c>
      <c r="P4" s="44" t="s">
        <v>36</v>
      </c>
      <c r="Q4" s="45">
        <v>1.7705021689197797</v>
      </c>
      <c r="R4" s="64">
        <v>69.909492228155926</v>
      </c>
      <c r="U4" s="44" t="s">
        <v>36</v>
      </c>
      <c r="V4" s="45">
        <v>2774450.1099999975</v>
      </c>
    </row>
    <row r="5" spans="1:29" x14ac:dyDescent="0.3">
      <c r="A5" s="35" t="s">
        <v>40</v>
      </c>
      <c r="B5" s="36">
        <v>3187553.7899999986</v>
      </c>
      <c r="C5" s="61">
        <v>2569047.9399999972</v>
      </c>
      <c r="D5" s="51">
        <v>135116290</v>
      </c>
      <c r="E5" s="51">
        <v>2120139</v>
      </c>
      <c r="F5" s="51">
        <v>123457</v>
      </c>
      <c r="G5" s="37">
        <v>1.594789236436772</v>
      </c>
      <c r="H5" s="48">
        <v>2.7681343651537245</v>
      </c>
      <c r="I5" s="48">
        <v>86.05458394092858</v>
      </c>
      <c r="J5" s="37">
        <v>1.263608754958137</v>
      </c>
      <c r="M5" s="44" t="s">
        <v>58</v>
      </c>
      <c r="N5" s="54">
        <v>758180.18000000028</v>
      </c>
      <c r="P5" s="44" t="s">
        <v>40</v>
      </c>
      <c r="Q5" s="45">
        <v>2.7681343651537245</v>
      </c>
      <c r="R5" s="64">
        <v>86.05458394092858</v>
      </c>
      <c r="U5" s="44" t="s">
        <v>40</v>
      </c>
      <c r="V5" s="45">
        <v>2569047.9399999972</v>
      </c>
    </row>
    <row r="6" spans="1:29" x14ac:dyDescent="0.3">
      <c r="A6" s="35" t="s">
        <v>36</v>
      </c>
      <c r="B6" s="36">
        <v>3444439.2100000014</v>
      </c>
      <c r="C6" s="61">
        <v>2774450.1099999975</v>
      </c>
      <c r="D6" s="51">
        <v>143746353</v>
      </c>
      <c r="E6" s="51">
        <v>3951966</v>
      </c>
      <c r="F6" s="51">
        <v>249885</v>
      </c>
      <c r="G6" s="37">
        <v>2.7642359396561131</v>
      </c>
      <c r="H6" s="48">
        <v>1.7705021689197797</v>
      </c>
      <c r="I6" s="48">
        <v>69.909492228155926</v>
      </c>
      <c r="J6" s="37">
        <v>1.272689783693475</v>
      </c>
      <c r="M6" s="44" t="s">
        <v>26</v>
      </c>
      <c r="N6" s="54">
        <v>719963.89000000025</v>
      </c>
      <c r="P6" s="44" t="s">
        <v>21</v>
      </c>
      <c r="Q6" s="45">
        <v>18.09618667922603</v>
      </c>
      <c r="R6" s="64">
        <v>548.6321777762289</v>
      </c>
      <c r="U6" s="44" t="s">
        <v>21</v>
      </c>
      <c r="V6" s="45">
        <v>2994319.4000000027</v>
      </c>
    </row>
    <row r="7" spans="1:29" x14ac:dyDescent="0.3">
      <c r="A7" s="38" t="s">
        <v>106</v>
      </c>
      <c r="B7" s="39">
        <v>10330689.869999986</v>
      </c>
      <c r="C7" s="62">
        <v>8337817.4500000114</v>
      </c>
      <c r="D7" s="53">
        <v>421230481</v>
      </c>
      <c r="E7" s="53">
        <v>7158196</v>
      </c>
      <c r="F7" s="53">
        <v>434423</v>
      </c>
      <c r="G7" s="40">
        <v>1.704481705137443</v>
      </c>
      <c r="H7" s="49">
        <v>7.633493779845125</v>
      </c>
      <c r="I7" s="49">
        <v>235.53695244326804</v>
      </c>
      <c r="J7" s="40">
        <v>1.2670261310151278</v>
      </c>
      <c r="M7" s="44" t="s">
        <v>83</v>
      </c>
      <c r="N7" s="54">
        <v>720638.03999999957</v>
      </c>
      <c r="P7" s="42" t="s">
        <v>106</v>
      </c>
      <c r="Q7" s="43">
        <v>7.6334937798451321</v>
      </c>
      <c r="R7" s="41">
        <v>235.53695244326772</v>
      </c>
      <c r="U7" s="42" t="s">
        <v>106</v>
      </c>
      <c r="V7" s="43">
        <v>8337817.4499999974</v>
      </c>
      <c r="X7" s="67" t="s">
        <v>122</v>
      </c>
      <c r="Y7" s="68"/>
      <c r="AA7" s="67" t="s">
        <v>121</v>
      </c>
      <c r="AB7" s="68"/>
    </row>
    <row r="8" spans="1:29" x14ac:dyDescent="0.3">
      <c r="H8" s="50"/>
      <c r="I8" s="50"/>
      <c r="M8" s="44" t="s">
        <v>52</v>
      </c>
      <c r="N8" s="54">
        <v>566817.22</v>
      </c>
      <c r="X8" s="41" t="s">
        <v>105</v>
      </c>
      <c r="Y8" s="41" t="s">
        <v>112</v>
      </c>
      <c r="AA8" s="41" t="s">
        <v>105</v>
      </c>
      <c r="AB8" s="41" t="s">
        <v>108</v>
      </c>
      <c r="AC8" s="41" t="s">
        <v>124</v>
      </c>
    </row>
    <row r="9" spans="1:29" x14ac:dyDescent="0.3">
      <c r="C9" s="46"/>
      <c r="D9" s="52"/>
      <c r="E9" s="52"/>
      <c r="F9" s="52"/>
      <c r="G9" s="34"/>
      <c r="H9" s="50"/>
      <c r="I9" s="50"/>
      <c r="M9" s="44" t="s">
        <v>37</v>
      </c>
      <c r="N9" s="54">
        <v>589116.06000000006</v>
      </c>
      <c r="X9" s="44" t="s">
        <v>36</v>
      </c>
      <c r="Y9" s="45">
        <v>2.7642359396561131</v>
      </c>
      <c r="AA9" s="44" t="s">
        <v>36</v>
      </c>
      <c r="AB9" s="45">
        <v>249885</v>
      </c>
      <c r="AC9" s="57">
        <f>GETPIVOTDATA("Conversions",$AA$8,"Platform","Google Ads")/GETPIVOTDATA("Conversions",$AA$8)*100</f>
        <v>57.521125723085561</v>
      </c>
    </row>
    <row r="10" spans="1:29" x14ac:dyDescent="0.3">
      <c r="C10" s="46"/>
      <c r="H10" s="47"/>
      <c r="M10" s="44" t="s">
        <v>33</v>
      </c>
      <c r="N10" s="54">
        <v>768156.14000000025</v>
      </c>
      <c r="X10" s="44" t="s">
        <v>40</v>
      </c>
      <c r="Y10" s="45">
        <v>1.594789236436772</v>
      </c>
      <c r="AA10" s="44" t="s">
        <v>40</v>
      </c>
      <c r="AB10" s="45">
        <v>123457</v>
      </c>
      <c r="AC10" s="57">
        <f>GETPIVOTDATA("Conversions",$AA$8,"Platform","Facebook Ads")/GETPIVOTDATA("Conversions",$AA$8)*100</f>
        <v>28.418615036496686</v>
      </c>
    </row>
    <row r="11" spans="1:29" x14ac:dyDescent="0.3">
      <c r="M11" s="44" t="s">
        <v>48</v>
      </c>
      <c r="N11" s="54">
        <v>570409.25999999989</v>
      </c>
      <c r="X11" s="44" t="s">
        <v>21</v>
      </c>
      <c r="Y11" s="45">
        <v>0.72389059727077709</v>
      </c>
      <c r="AA11" s="44" t="s">
        <v>21</v>
      </c>
      <c r="AB11" s="45">
        <v>61081</v>
      </c>
      <c r="AC11" s="57">
        <f>GETPIVOTDATA("Conversions",$AA$8,"Platform","Display Ads")/GETPIVOTDATA("Conversions",$AA$8)*100</f>
        <v>14.06025924041775</v>
      </c>
    </row>
    <row r="12" spans="1:29" x14ac:dyDescent="0.3">
      <c r="M12" s="44" t="s">
        <v>81</v>
      </c>
      <c r="N12" s="54">
        <v>661908.30000000005</v>
      </c>
      <c r="X12" s="42" t="s">
        <v>106</v>
      </c>
      <c r="Y12" s="43">
        <v>1.7044817051374463</v>
      </c>
      <c r="AA12" s="42" t="s">
        <v>106</v>
      </c>
      <c r="AB12" s="43">
        <v>434423</v>
      </c>
      <c r="AC12" s="58">
        <f>SUM(AC9:AC11)</f>
        <v>100</v>
      </c>
    </row>
    <row r="13" spans="1:29" x14ac:dyDescent="0.3">
      <c r="C13" s="63">
        <f>GETPIVOTDATA("Total Spend",$A$3)</f>
        <v>8337817.4500000114</v>
      </c>
      <c r="D13" s="60">
        <f>GETPIVOTDATA("Total Impression",$A$3)</f>
        <v>421230481</v>
      </c>
      <c r="E13" s="60">
        <f>GETPIVOTDATA("Total Clicks",$A$3)</f>
        <v>7158196</v>
      </c>
      <c r="F13" s="60">
        <f>GETPIVOTDATA("Total Conversions",$A$3)</f>
        <v>434423</v>
      </c>
      <c r="G13" s="55">
        <f>GETPIVOTDATA("Average of CTR (%)",$A$3)</f>
        <v>1.704481705137443</v>
      </c>
      <c r="H13" s="56">
        <f>GETPIVOTDATA("Average of CPC ($)",$A$3)</f>
        <v>7.633493779845125</v>
      </c>
      <c r="I13" s="56">
        <f>GETPIVOTDATA("Average of CPA ($)",$A$3)</f>
        <v>235.53695244326804</v>
      </c>
      <c r="M13" s="44" t="s">
        <v>79</v>
      </c>
      <c r="N13" s="54">
        <v>812971.1100000001</v>
      </c>
    </row>
    <row r="14" spans="1:29" x14ac:dyDescent="0.3">
      <c r="G14" s="34"/>
      <c r="M14" s="44" t="s">
        <v>44</v>
      </c>
      <c r="N14" s="54">
        <v>715098.86</v>
      </c>
    </row>
    <row r="15" spans="1:29" x14ac:dyDescent="0.3">
      <c r="M15" s="44" t="s">
        <v>54</v>
      </c>
      <c r="N15" s="54">
        <v>782089.07000000007</v>
      </c>
    </row>
    <row r="19" spans="14:27" x14ac:dyDescent="0.3">
      <c r="N19" s="34"/>
    </row>
    <row r="22" spans="14:27" ht="18" x14ac:dyDescent="0.3">
      <c r="AA22" s="59"/>
    </row>
  </sheetData>
  <mergeCells count="6">
    <mergeCell ref="A2:J2"/>
    <mergeCell ref="M2:N2"/>
    <mergeCell ref="U2:V2"/>
    <mergeCell ref="P2:R2"/>
    <mergeCell ref="AA7:AB7"/>
    <mergeCell ref="X7:Y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5DC9-3052-4473-980A-2E9392EF67E7}">
  <dimension ref="H14"/>
  <sheetViews>
    <sheetView showGridLines="0" tabSelected="1" zoomScaleNormal="100" workbookViewId="0">
      <selection activeCell="X23" sqref="X23"/>
    </sheetView>
  </sheetViews>
  <sheetFormatPr defaultRowHeight="14.4" x14ac:dyDescent="0.3"/>
  <sheetData>
    <row r="14" spans="8:8" x14ac:dyDescent="0.3">
      <c r="H14" t="s">
        <v>116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Campaign data</vt:lpstr>
      <vt:lpstr>PIVOT TABLES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manikya pasi</cp:lastModifiedBy>
  <cp:revision>0</cp:revision>
  <dcterms:created xsi:type="dcterms:W3CDTF">2026-03-17T16:24:19Z</dcterms:created>
  <dcterms:modified xsi:type="dcterms:W3CDTF">2026-03-25T05:42:30Z</dcterms:modified>
  <dc:language>en-US</dc:language>
</cp:coreProperties>
</file>